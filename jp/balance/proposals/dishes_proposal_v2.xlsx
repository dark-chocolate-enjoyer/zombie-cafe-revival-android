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ishes" sheetId="2" state="visible" r:id="rId2"/>
    <sheet name="Summary" sheetId="3" state="visible" r:id="rId3"/>
    <sheet name="Chart data" sheetId="4" state="visible" r:id="rId4"/>
  </sheets>
  <definedNames>
    <definedName name="_xlnm._FilterDatabase" localSheetId="1" hidden="1">'Dishes'!$A$2:$AK$236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/>
    <font>
      <b val="1"/>
    </font>
    <font>
      <b val="1"/>
      <color rgb="00FFFFFF"/>
    </font>
    <font>
      <b val="1"/>
      <sz val="13"/>
    </font>
  </fonts>
  <fills count="27">
    <fill>
      <patternFill/>
    </fill>
    <fill>
      <patternFill patternType="gray125"/>
    </fill>
    <fill>
      <patternFill patternType="solid">
        <fgColor rgb="00EEF8E9"/>
        <bgColor rgb="00EEF8E9"/>
      </patternFill>
    </fill>
    <fill>
      <patternFill patternType="solid">
        <fgColor rgb="00D2EECD"/>
        <bgColor rgb="00D2EECD"/>
      </patternFill>
    </fill>
    <fill>
      <patternFill patternType="solid">
        <fgColor rgb="00B6E4B2"/>
        <bgColor rgb="00B6E4B2"/>
      </patternFill>
    </fill>
    <fill>
      <patternFill patternType="solid">
        <fgColor rgb="009BD996"/>
        <bgColor rgb="009BD996"/>
      </patternFill>
    </fill>
    <fill>
      <patternFill patternType="solid">
        <fgColor rgb="007FCF7A"/>
        <bgColor rgb="007FCF7A"/>
      </patternFill>
    </fill>
    <fill>
      <patternFill patternType="solid">
        <fgColor rgb="0064B260"/>
        <bgColor rgb="0064B260"/>
      </patternFill>
    </fill>
    <fill>
      <patternFill patternType="solid">
        <fgColor rgb="004A9447"/>
        <bgColor rgb="004A9447"/>
      </patternFill>
    </fill>
    <fill>
      <patternFill patternType="solid">
        <fgColor rgb="002F772E"/>
        <bgColor rgb="002F772E"/>
      </patternFill>
    </fill>
    <fill>
      <patternFill patternType="solid">
        <fgColor rgb="00145A14"/>
        <bgColor rgb="00145A14"/>
      </patternFill>
    </fill>
    <fill>
      <patternFill patternType="solid">
        <fgColor rgb="00FDEDEC"/>
        <bgColor rgb="00FDEDEC"/>
      </patternFill>
    </fill>
    <fill>
      <patternFill patternType="solid">
        <fgColor rgb="00FAD3D0"/>
        <bgColor rgb="00FAD3D0"/>
      </patternFill>
    </fill>
    <fill>
      <patternFill patternType="solid">
        <fgColor rgb="00F6B9B4"/>
        <bgColor rgb="00F6B9B4"/>
      </patternFill>
    </fill>
    <fill>
      <patternFill patternType="solid">
        <fgColor rgb="00F39F99"/>
        <bgColor rgb="00F39F99"/>
      </patternFill>
    </fill>
    <fill>
      <patternFill patternType="solid">
        <fgColor rgb="00F0857D"/>
        <bgColor rgb="00F0857D"/>
      </patternFill>
    </fill>
    <fill>
      <patternFill patternType="solid">
        <fgColor rgb="00D7645E"/>
        <bgColor rgb="00D7645E"/>
      </patternFill>
    </fill>
    <fill>
      <patternFill patternType="solid">
        <fgColor rgb="00BE423E"/>
        <bgColor rgb="00BE423E"/>
      </patternFill>
    </fill>
    <fill>
      <patternFill patternType="solid">
        <fgColor rgb="00A4211F"/>
        <bgColor rgb="00A4211F"/>
      </patternFill>
    </fill>
    <fill>
      <patternFill patternType="solid">
        <fgColor rgb="008B0000"/>
        <bgColor rgb="008B0000"/>
      </patternFill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7F6000"/>
      </patternFill>
    </fill>
    <fill>
      <patternFill patternType="solid">
        <fgColor rgb="00DDEBF7"/>
      </patternFill>
    </fill>
    <fill>
      <patternFill patternType="solid">
        <fgColor rgb="00EDF3FA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5" fillId="14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6" fillId="17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6" fillId="19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5" fillId="20" borderId="0" applyAlignment="1" pivotButton="0" quotePrefix="0" xfId="0">
      <alignment horizontal="center"/>
    </xf>
    <xf numFmtId="0" fontId="6" fillId="21" borderId="0" applyAlignment="1" pivotButton="0" quotePrefix="0" xfId="0">
      <alignment horizontal="center" vertical="center" wrapText="1"/>
    </xf>
    <xf numFmtId="0" fontId="6" fillId="2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3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24" borderId="1" pivotButton="0" quotePrefix="0" xfId="0"/>
    <xf numFmtId="0" fontId="0" fillId="25" borderId="1" pivotButton="0" quotePrefix="0" xfId="0"/>
    <xf numFmtId="0" fontId="0" fillId="26" borderId="1" pivotButton="0" quotePrefix="0" xfId="0"/>
    <xf numFmtId="0" fontId="7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dxfs count="18">
    <dxf>
      <font>
        <b val="1"/>
        <color rgb="00FFFFFF"/>
      </font>
      <fill>
        <patternFill patternType="solid">
          <fgColor rgb="00145A14"/>
          <bgColor rgb="00145A14"/>
        </patternFill>
      </fill>
    </dxf>
    <dxf>
      <font>
        <b val="1"/>
        <color rgb="00FFFFFF"/>
      </font>
      <fill>
        <patternFill patternType="solid">
          <fgColor rgb="002F772E"/>
          <bgColor rgb="002F772E"/>
        </patternFill>
      </fill>
    </dxf>
    <dxf>
      <font>
        <b val="1"/>
        <color rgb="00FFFFFF"/>
      </font>
      <fill>
        <patternFill patternType="solid">
          <fgColor rgb="004A9447"/>
          <bgColor rgb="004A9447"/>
        </patternFill>
      </fill>
    </dxf>
    <dxf>
      <font>
        <b val="1"/>
      </font>
      <fill>
        <patternFill patternType="solid">
          <fgColor rgb="0064B260"/>
          <bgColor rgb="0064B260"/>
        </patternFill>
      </fill>
    </dxf>
    <dxf>
      <font>
        <b val="1"/>
      </font>
      <fill>
        <patternFill patternType="solid">
          <fgColor rgb="007FCF7A"/>
          <bgColor rgb="007FCF7A"/>
        </patternFill>
      </fill>
    </dxf>
    <dxf>
      <font>
        <b val="1"/>
      </font>
      <fill>
        <patternFill patternType="solid">
          <fgColor rgb="009BD996"/>
          <bgColor rgb="009BD996"/>
        </patternFill>
      </fill>
    </dxf>
    <dxf>
      <font/>
      <fill>
        <patternFill patternType="solid">
          <fgColor rgb="00B6E4B2"/>
          <bgColor rgb="00B6E4B2"/>
        </patternFill>
      </fill>
    </dxf>
    <dxf>
      <font/>
      <fill>
        <patternFill patternType="solid">
          <fgColor rgb="00D2EECD"/>
          <bgColor rgb="00D2EECD"/>
        </patternFill>
      </fill>
    </dxf>
    <dxf>
      <font/>
      <fill>
        <patternFill patternType="solid">
          <fgColor rgb="00EEF8E9"/>
          <bgColor rgb="00EEF8E9"/>
        </patternFill>
      </fill>
    </dxf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ont>
        <b val="1"/>
        <color rgb="00FFFFFF"/>
      </font>
      <fill>
        <patternFill patternType="solid">
          <fgColor rgb="00A4211F"/>
          <bgColor rgb="00A4211F"/>
        </patternFill>
      </fill>
    </dxf>
    <dxf>
      <font>
        <b val="1"/>
        <color rgb="00FFFFFF"/>
      </font>
      <fill>
        <patternFill patternType="solid">
          <fgColor rgb="00BE423E"/>
          <bgColor rgb="00BE423E"/>
        </patternFill>
      </fill>
    </dxf>
    <dxf>
      <font>
        <b val="1"/>
      </font>
      <fill>
        <patternFill patternType="solid">
          <fgColor rgb="00D7645E"/>
          <bgColor rgb="00D7645E"/>
        </patternFill>
      </fill>
    </dxf>
    <dxf>
      <font>
        <b val="1"/>
      </font>
      <fill>
        <patternFill patternType="solid">
          <fgColor rgb="00F0857D"/>
          <bgColor rgb="00F0857D"/>
        </patternFill>
      </fill>
    </dxf>
    <dxf>
      <font>
        <b val="1"/>
      </font>
      <fill>
        <patternFill patternType="solid">
          <fgColor rgb="00F39F99"/>
          <bgColor rgb="00F39F99"/>
        </patternFill>
      </fill>
    </dxf>
    <dxf>
      <font/>
      <fill>
        <patternFill patternType="solid">
          <fgColor rgb="00F6B9B4"/>
          <bgColor rgb="00F6B9B4"/>
        </patternFill>
      </fill>
    </dxf>
    <dxf>
      <font/>
      <fill>
        <patternFill patternType="solid">
          <fgColor rgb="00FAD3D0"/>
          <bgColor rgb="00FAD3D0"/>
        </patternFill>
      </fill>
    </dxf>
    <dxf>
      <font/>
      <fill>
        <patternFill patternType="solid">
          <fgColor rgb="00FDEDEC"/>
          <b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Proposed earnings per minute by unlock level</a:t>
            </a:r>
          </a:p>
        </rich>
      </tx>
    </title>
    <plotArea>
      <scatterChart>
        <ser>
          <idx val="0"/>
          <order val="0"/>
          <tx>
            <v>Ported from EN</v>
          </tx>
          <spPr>
            <a:ln>
              <a:noFill/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xVal>
            <numRef>
              <f>'Chart data'!$B$2:$B$66</f>
            </numRef>
          </xVal>
          <yVal>
            <numRef>
              <f>'Chart data'!$C$2:$C$66</f>
            </numRef>
          </yVal>
        </ser>
        <ser>
          <idx val="1"/>
          <order val="1"/>
          <tx>
            <v>EN dish, JP-repriced</v>
          </tx>
          <spPr>
            <a:ln>
              <a:noFill/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xVal>
            <numRef>
              <f>'Chart data'!$B$67:$B$140</f>
            </numRef>
          </xVal>
          <yVal>
            <numRef>
              <f>'Chart data'!$C$67:$C$140</f>
            </numRef>
          </yVal>
        </ser>
        <ser>
          <idx val="2"/>
          <order val="2"/>
          <tx>
            <v>JP-only</v>
          </tx>
          <spPr>
            <a:ln>
              <a:noFill/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xVal>
            <numRef>
              <f>'Chart data'!$B$141:$B$235</f>
            </numRef>
          </xVal>
          <yVal>
            <numRef>
              <f>'Chart data'!$C$141:$C$235</f>
            </numRef>
          </yVal>
        </ser>
        <axId val="10"/>
        <axId val="20"/>
      </scatterChart>
      <valAx>
        <axId val="10"/>
        <scaling>
          <orientation val="minMax"/>
          <max val="7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Unlock level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$/min (capped at 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JP dish balance — proposal v2 (2026-10-08)</t>
        </is>
      </c>
    </row>
    <row r="2">
      <c r="A2" s="2" t="inlineStr">
        <is>
          <t>Report only. Nothing has been applied to the game. You decide every row.</t>
        </is>
      </c>
    </row>
    <row r="3">
      <c r="A3" s="3" t="inlineStr"/>
    </row>
    <row r="4">
      <c r="A4" s="4" t="inlineStr">
        <is>
          <t>How to review</t>
        </is>
      </c>
    </row>
    <row r="5">
      <c r="A5" s="3" t="inlineStr">
        <is>
          <t>1. Open the "Dishes" sheet: one row per dish (234), in game-file order. Use the filter arrows to sort or filter (e.g. Proposal, How unlocked, or sort by Buff).</t>
        </is>
      </c>
    </row>
    <row r="6">
      <c r="A6" s="3" t="inlineStr">
        <is>
          <t>2. Colours: every proposed number that changed is shaded GREEN if it is better for the player and RED if worse, in 9 shades from barely (2%) to huge (×3.5 or more), so the darker the bigger the change. That covers cost, servings, $/serving, cook time, XP, profit, $/min, margin and XP/min. "Buff" and "What changes" are shaded by the change in earnings per minute. Uncoloured = unchanged.</t>
        </is>
      </c>
    </row>
    <row r="7">
      <c r="A7" s="3" t="inlineStr">
        <is>
          <t>3. Type over any "New …" number (brown headers) to try your own value: colours, Buff and Effect columns update.</t>
        </is>
      </c>
    </row>
    <row r="8">
      <c r="A8" s="3" t="inlineStr">
        <is>
          <t>4. Set "Owner verdict" (Approve / Reject / Change) and add notes. Save the file.</t>
        </is>
      </c>
    </row>
    <row r="9">
      <c r="A9" s="3" t="inlineStr">
        <is>
          <t>5. Tell Claude "apply the approved dishes": approved rows become jp/balance/overrides/*.csv, then build, install on the A54, play-test.</t>
        </is>
      </c>
    </row>
    <row r="10">
      <c r="A10" s="3" t="inlineStr"/>
    </row>
    <row r="11">
      <c r="A11" s="4" t="inlineStr">
        <is>
          <t>Colour key</t>
        </is>
      </c>
    </row>
    <row r="12">
      <c r="A12" s="5" t="inlineStr">
        <is>
          <t>Better for the player (at least):</t>
        </is>
      </c>
      <c r="B12" s="6" t="inlineStr">
        <is>
          <t>+2%</t>
        </is>
      </c>
      <c r="C12" s="7" t="inlineStr">
        <is>
          <t>+10%</t>
        </is>
      </c>
      <c r="D12" s="8" t="inlineStr">
        <is>
          <t>+20%</t>
        </is>
      </c>
      <c r="E12" s="9" t="inlineStr">
        <is>
          <t>+35%</t>
        </is>
      </c>
      <c r="F12" s="10" t="inlineStr">
        <is>
          <t>+50%</t>
        </is>
      </c>
      <c r="G12" s="11" t="inlineStr">
        <is>
          <t>+75%</t>
        </is>
      </c>
      <c r="H12" s="12" t="inlineStr">
        <is>
          <t>×2</t>
        </is>
      </c>
      <c r="I12" s="13" t="inlineStr">
        <is>
          <t>×2.5</t>
        </is>
      </c>
      <c r="J12" s="14" t="inlineStr">
        <is>
          <t>×3.5</t>
        </is>
      </c>
    </row>
    <row r="13">
      <c r="A13" s="5" t="inlineStr">
        <is>
          <t>Worse for the player (at least):</t>
        </is>
      </c>
      <c r="B13" s="15" t="inlineStr">
        <is>
          <t>+2%</t>
        </is>
      </c>
      <c r="C13" s="16" t="inlineStr">
        <is>
          <t>+10%</t>
        </is>
      </c>
      <c r="D13" s="17" t="inlineStr">
        <is>
          <t>+20%</t>
        </is>
      </c>
      <c r="E13" s="18" t="inlineStr">
        <is>
          <t>+35%</t>
        </is>
      </c>
      <c r="F13" s="19" t="inlineStr">
        <is>
          <t>+50%</t>
        </is>
      </c>
      <c r="G13" s="20" t="inlineStr">
        <is>
          <t>+75%</t>
        </is>
      </c>
      <c r="H13" s="21" t="inlineStr">
        <is>
          <t>×2</t>
        </is>
      </c>
      <c r="I13" s="22" t="inlineStr">
        <is>
          <t>×2.5</t>
        </is>
      </c>
      <c r="J13" s="23" t="inlineStr">
        <is>
          <t>×3.5</t>
        </is>
      </c>
    </row>
    <row r="14">
      <c r="A14" s="24" t="inlineStr">
        <is>
          <t>Costs and cook time count by how much cheaper/faster: half the cost = ×2, the same shade as double the servings.</t>
        </is>
      </c>
    </row>
    <row r="15">
      <c r="A15" s="3" t="inlineStr"/>
    </row>
    <row r="16">
      <c r="A16" s="4" t="inlineStr">
        <is>
          <t>What is proposed (148 of 234 dishes change)</t>
        </is>
      </c>
    </row>
    <row r="17">
      <c r="A17" s="3" t="inlineStr">
        <is>
          <t>Port EN v1.1 — 47 dishes identical to EN vanilla get your EN v1.1 numbers exactly (+18 you left unchanged in EN, so they stay).</t>
        </is>
      </c>
    </row>
    <row r="18">
      <c r="A18" s="3" t="inlineStr">
        <is>
          <t>EN pattern — the other 169 dishes (101 buffed, 68 held). Each one is matched to the 5 most similar dishes of your English game (cook time, margin, ingredient cost, $/serving, unlock level, $/min) and gets the same change you gave the middle one of those: same % cost cut, same % servings change, same $/serving bump. If you left those dishes alone, this one is held too. The "Modelled on" and "Similar EN dishes" columns name them so you can check the match.</t>
        </is>
      </c>
    </row>
    <row r="19">
      <c r="A19" s="3" t="inlineStr">
        <is>
          <t>Dishes charging more than $16 per serving (nothing in EN to compare with) are held for your call. "Loose match" flags dishes with no really close EN dish: check those matches first.</t>
        </is>
      </c>
    </row>
    <row r="20">
      <c r="A20" s="3" t="inlineStr">
        <is>
          <t>Cook time, XP and unlock level never change (you held XP per minute in EN). $/serving and profit never go down. Flavour numbers in JP event dishes (1987, 2014, 555, 777, 512/256/128 …) are kept; the same gain is moved to another number instead.</t>
        </is>
      </c>
    </row>
    <row r="21">
      <c r="A21" s="3" t="inlineStr"/>
    </row>
    <row r="22">
      <c r="A22" s="4" t="inlineStr">
        <is>
          <t>Why this method (v2)</t>
        </is>
      </c>
    </row>
    <row r="23">
      <c r="A23" s="3" t="inlineStr">
        <is>
          <t>Tested on your own English game: predicting each of 170 free EN dishes from the others, this method reproduces your v1.1 profit change with a typical error of 20% (misses by more than 1.5× on 23). "Change nothing" is off by 41%. v1 (one margin target per cook length) missed on 40 dishes: it buffed weak quick dishes you left alone and under-buffed the cheap dishes you made very profitable.</t>
        </is>
      </c>
    </row>
    <row r="24">
      <c r="A24" s="3" t="inlineStr"/>
    </row>
    <row r="25">
      <c r="A25" s="4" t="inlineStr">
        <is>
          <t>Things to decide yourself</t>
        </is>
      </c>
    </row>
    <row r="26">
      <c r="A26" s="3" t="inlineStr">
        <is>
          <t>• Event dishes (How unlocked = Event recipe) were online-event rewards; how they unlock offline is still open (START_HERE §8). They are matched against your FREE EN dishes. If they become paid/Toxin unlocks, your EN rule says premium food should earn clearly more.</t>
        </is>
      </c>
    </row>
    <row r="27">
      <c r="A27" s="3" t="inlineStr">
        <is>
          <t>• Quick-cash dishes and XP outliers are flagged. Some are held only because you held their EN equivalents.</t>
        </is>
      </c>
    </row>
    <row r="28">
      <c r="A28" s="3" t="inlineStr"/>
    </row>
    <row r="29">
      <c r="A29" s="4" t="inlineStr">
        <is>
          <t>Column guide</t>
        </is>
      </c>
    </row>
    <row r="30">
      <c r="A30" s="3" t="inlineStr">
        <is>
          <t>Margin = profit ÷ ingredient cost.  $/min = profit per cooking minute.  Buff = change in $/min.  EN columns: your English game's numbers for the same dish (cost · cook min · servings×$ · XP).</t>
        </is>
      </c>
    </row>
    <row r="31">
      <c r="A31" s="3" t="inlineStr">
        <is>
          <t>Source: jp/balance/propose_dishes.py (re-run to regenerate). Current values: jp/balance/snapshots/foods_current.csv.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5" customWidth="1" min="3" max="3"/>
    <col width="17" customWidth="1" min="4" max="4"/>
    <col width="20" customWidth="1" min="5" max="5"/>
    <col width="9" customWidth="1" min="6" max="6"/>
    <col width="19" customWidth="1" min="7" max="7"/>
    <col width="9" customWidth="1" min="8" max="8"/>
    <col width="12" customWidth="1" min="9" max="9"/>
    <col width="24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44" customWidth="1" min="29" max="29"/>
    <col width="55" customWidth="1" min="30" max="30"/>
    <col width="36" customWidth="1" min="31" max="31"/>
    <col width="40" customWidth="1" min="32" max="32"/>
    <col width="36" customWidth="1" min="33" max="33"/>
    <col width="27" customWidth="1" min="34" max="34"/>
    <col width="27" customWidth="1" min="35" max="35"/>
    <col width="14" customWidth="1" min="36" max="36"/>
    <col width="18" customWidth="1" min="37" max="37"/>
  </cols>
  <sheetData>
    <row r="1">
      <c r="B1" s="25" t="inlineStr">
        <is>
          <t>Dish</t>
        </is>
      </c>
      <c r="G1" s="25" t="inlineStr">
        <is>
          <t>Your review</t>
        </is>
      </c>
      <c r="K1" s="25" t="inlineStr">
        <is>
          <t>Current JP values</t>
        </is>
      </c>
      <c r="P1" s="25" t="inlineStr">
        <is>
          <t>Proposed: type over these to try your own numbers</t>
        </is>
      </c>
      <c r="U1" s="25" t="inlineStr">
        <is>
          <t>Effect (New columns recalculate when you edit)</t>
        </is>
      </c>
      <c r="AC1" s="25" t="inlineStr">
        <is>
          <t>Explanation</t>
        </is>
      </c>
      <c r="AH1" s="25" t="inlineStr">
        <is>
          <t>Your English game (same dish)</t>
        </is>
      </c>
      <c r="AK1" s="25" t="inlineStr">
        <is>
          <t>JP original</t>
        </is>
      </c>
    </row>
    <row r="2" ht="32" customHeight="1">
      <c r="A2" s="26" t="inlineStr">
        <is>
          <t>#</t>
        </is>
      </c>
      <c r="B2" s="26" t="inlineStr">
        <is>
          <t>Dish</t>
        </is>
      </c>
      <c r="C2" s="26" t="inlineStr">
        <is>
          <t>Lv</t>
        </is>
      </c>
      <c r="D2" s="26" t="inlineStr">
        <is>
          <t>How unlocked</t>
        </is>
      </c>
      <c r="E2" s="26" t="inlineStr">
        <is>
          <t>EN twin</t>
        </is>
      </c>
      <c r="F2" s="26" t="inlineStr">
        <is>
          <t>Same as EN vanilla</t>
        </is>
      </c>
      <c r="G2" s="26" t="inlineStr">
        <is>
          <t>Proposal</t>
        </is>
      </c>
      <c r="H2" s="26" t="inlineStr">
        <is>
          <t>Buff</t>
        </is>
      </c>
      <c r="I2" s="26" t="inlineStr">
        <is>
          <t>Owner verdict</t>
        </is>
      </c>
      <c r="J2" s="26" t="inlineStr">
        <is>
          <t>Owner notes</t>
        </is>
      </c>
      <c r="K2" s="26" t="inlineStr">
        <is>
          <t>Cost</t>
        </is>
      </c>
      <c r="L2" s="26" t="inlineStr">
        <is>
          <t>Cook min</t>
        </is>
      </c>
      <c r="M2" s="26" t="inlineStr">
        <is>
          <t>Servings</t>
        </is>
      </c>
      <c r="N2" s="26" t="inlineStr">
        <is>
          <t>$/serving</t>
        </is>
      </c>
      <c r="O2" s="26" t="inlineStr">
        <is>
          <t>XP</t>
        </is>
      </c>
      <c r="P2" s="27" t="inlineStr">
        <is>
          <t>New cost</t>
        </is>
      </c>
      <c r="Q2" s="27" t="inlineStr">
        <is>
          <t>New cook min</t>
        </is>
      </c>
      <c r="R2" s="27" t="inlineStr">
        <is>
          <t>New servings</t>
        </is>
      </c>
      <c r="S2" s="27" t="inlineStr">
        <is>
          <t>New $/serving</t>
        </is>
      </c>
      <c r="T2" s="27" t="inlineStr">
        <is>
          <t>New XP</t>
        </is>
      </c>
      <c r="U2" s="26" t="inlineStr">
        <is>
          <t>Profit</t>
        </is>
      </c>
      <c r="V2" s="26" t="inlineStr">
        <is>
          <t>New profit</t>
        </is>
      </c>
      <c r="W2" s="26" t="inlineStr">
        <is>
          <t>$/min</t>
        </is>
      </c>
      <c r="X2" s="26" t="inlineStr">
        <is>
          <t>New $/min</t>
        </is>
      </c>
      <c r="Y2" s="26" t="inlineStr">
        <is>
          <t>Margin</t>
        </is>
      </c>
      <c r="Z2" s="26" t="inlineStr">
        <is>
          <t>New margin</t>
        </is>
      </c>
      <c r="AA2" s="26" t="inlineStr">
        <is>
          <t>XP/min</t>
        </is>
      </c>
      <c r="AB2" s="26" t="inlineStr">
        <is>
          <t>New XP/min</t>
        </is>
      </c>
      <c r="AC2" s="26" t="inlineStr">
        <is>
          <t>What changes</t>
        </is>
      </c>
      <c r="AD2" s="26" t="inlineStr">
        <is>
          <t>Why</t>
        </is>
      </c>
      <c r="AE2" s="26" t="inlineStr">
        <is>
          <t>Modelled on (EN)</t>
        </is>
      </c>
      <c r="AF2" s="26" t="inlineStr">
        <is>
          <t>Similar EN dishes</t>
        </is>
      </c>
      <c r="AG2" s="26" t="inlineStr">
        <is>
          <t>Flags</t>
        </is>
      </c>
      <c r="AH2" s="26" t="inlineStr">
        <is>
          <t>EN vanilla</t>
        </is>
      </c>
      <c r="AI2" s="26" t="inlineStr">
        <is>
          <t>EN v1.1 (yours)</t>
        </is>
      </c>
      <c r="AJ2" s="26" t="inlineStr">
        <is>
          <t>EN $/min van→v1.1</t>
        </is>
      </c>
      <c r="AK2" s="26" t="inlineStr">
        <is>
          <t>JP name</t>
        </is>
      </c>
    </row>
    <row r="3">
      <c r="A3" s="28" t="n">
        <v>0</v>
      </c>
      <c r="B3" s="28" t="inlineStr">
        <is>
          <t>Mystery Meat</t>
        </is>
      </c>
      <c r="C3" s="28" t="n">
        <v>1</v>
      </c>
      <c r="D3" s="28" t="inlineStr">
        <is>
          <t>Level track</t>
        </is>
      </c>
      <c r="E3" s="28" t="inlineStr">
        <is>
          <t>Mystery Meat</t>
        </is>
      </c>
      <c r="F3" s="28" t="inlineStr">
        <is>
          <t>Yes</t>
        </is>
      </c>
      <c r="G3" s="29" t="inlineStr">
        <is>
          <t>Port EN v1.1</t>
        </is>
      </c>
      <c r="H3" s="30">
        <f>IF(W3&gt;0,X3/W3-1,"")</f>
        <v/>
      </c>
      <c r="I3" s="28" t="inlineStr"/>
      <c r="J3" s="28" t="inlineStr"/>
      <c r="K3" s="31" t="n">
        <v>8</v>
      </c>
      <c r="L3" s="28" t="n">
        <v>2</v>
      </c>
      <c r="M3" s="31" t="n">
        <v>12</v>
      </c>
      <c r="N3" s="28" t="n">
        <v>1</v>
      </c>
      <c r="O3" s="28" t="n">
        <v>1</v>
      </c>
      <c r="P3" s="31" t="n">
        <v>4</v>
      </c>
      <c r="Q3" s="28" t="n">
        <v>2</v>
      </c>
      <c r="R3" s="31" t="n">
        <v>12</v>
      </c>
      <c r="S3" s="28" t="n">
        <v>1</v>
      </c>
      <c r="T3" s="28" t="n">
        <v>1</v>
      </c>
      <c r="U3" s="31" t="n">
        <v>4</v>
      </c>
      <c r="V3" s="31">
        <f>R3*S3-P3</f>
        <v/>
      </c>
      <c r="W3" s="28" t="n">
        <v>2</v>
      </c>
      <c r="X3" s="28">
        <f>ROUND(V3/MAX(Q3,1),2)</f>
        <v/>
      </c>
      <c r="Y3" s="28" t="n">
        <v>0.5</v>
      </c>
      <c r="Z3" s="28">
        <f>IF(P3&gt;0,ROUND(V3/P3,2),"")</f>
        <v/>
      </c>
      <c r="AA3" s="28" t="n">
        <v>0.5</v>
      </c>
      <c r="AB3" s="28">
        <f>ROUND(T3/MAX(Q3,1),3)</f>
        <v/>
      </c>
      <c r="AC3" s="32" t="inlineStr">
        <is>
          <t>Cost 8-&gt;4 (-50%)</t>
        </is>
      </c>
      <c r="AD3" s="32" t="inlineStr">
        <is>
          <t>Same dish as EN vanilla; your EN v1.1 numbers copied as-is</t>
        </is>
      </c>
      <c r="AE3" s="32" t="inlineStr"/>
      <c r="AF3" s="32" t="inlineStr"/>
      <c r="AG3" s="32" t="inlineStr"/>
      <c r="AH3" s="28" t="inlineStr">
        <is>
          <t>$8 · 2m · 12×$1 · 1xp</t>
        </is>
      </c>
      <c r="AI3" s="28" t="inlineStr">
        <is>
          <t>$4 · 2m · 12×$1 · 1xp</t>
        </is>
      </c>
      <c r="AJ3" s="28" t="inlineStr">
        <is>
          <t>2.00 → 4.00</t>
        </is>
      </c>
      <c r="AK3" s="28" t="inlineStr">
        <is>
          <t>あやしい肉</t>
        </is>
      </c>
    </row>
    <row r="4">
      <c r="A4" s="28" t="n">
        <v>1</v>
      </c>
      <c r="B4" s="28" t="inlineStr">
        <is>
          <t>Hobo Delight</t>
        </is>
      </c>
      <c r="C4" s="28" t="n">
        <v>1</v>
      </c>
      <c r="D4" s="28" t="inlineStr">
        <is>
          <t>Raid recipe</t>
        </is>
      </c>
      <c r="E4" s="28" t="inlineStr">
        <is>
          <t>Hobo Delight</t>
        </is>
      </c>
      <c r="F4" s="28" t="inlineStr">
        <is>
          <t>Yes</t>
        </is>
      </c>
      <c r="G4" s="29" t="inlineStr">
        <is>
          <t>Port EN v1.1</t>
        </is>
      </c>
      <c r="H4" s="30">
        <f>IF(W4&gt;0,X4/W4-1,"")</f>
        <v/>
      </c>
      <c r="I4" s="28" t="inlineStr"/>
      <c r="J4" s="28" t="inlineStr"/>
      <c r="K4" s="31" t="n">
        <v>30</v>
      </c>
      <c r="L4" s="28" t="n">
        <v>5</v>
      </c>
      <c r="M4" s="31" t="n">
        <v>20</v>
      </c>
      <c r="N4" s="28" t="n">
        <v>2</v>
      </c>
      <c r="O4" s="28" t="n">
        <v>2</v>
      </c>
      <c r="P4" s="31" t="n">
        <v>5</v>
      </c>
      <c r="Q4" s="28" t="n">
        <v>5</v>
      </c>
      <c r="R4" s="31" t="n">
        <v>20</v>
      </c>
      <c r="S4" s="28" t="n">
        <v>2</v>
      </c>
      <c r="T4" s="28" t="n">
        <v>2</v>
      </c>
      <c r="U4" s="31" t="n">
        <v>10</v>
      </c>
      <c r="V4" s="31">
        <f>R4*S4-P4</f>
        <v/>
      </c>
      <c r="W4" s="28" t="n">
        <v>2</v>
      </c>
      <c r="X4" s="28">
        <f>ROUND(V4/MAX(Q4,1),2)</f>
        <v/>
      </c>
      <c r="Y4" s="28" t="n">
        <v>0.33</v>
      </c>
      <c r="Z4" s="28">
        <f>IF(P4&gt;0,ROUND(V4/P4,2),"")</f>
        <v/>
      </c>
      <c r="AA4" s="28" t="n">
        <v>0.4</v>
      </c>
      <c r="AB4" s="28">
        <f>ROUND(T4/MAX(Q4,1),3)</f>
        <v/>
      </c>
      <c r="AC4" s="32" t="inlineStr">
        <is>
          <t>Cost 30-&gt;5 (-83%)</t>
        </is>
      </c>
      <c r="AD4" s="32" t="inlineStr">
        <is>
          <t>Same dish as EN vanilla; your EN v1.1 numbers copied as-is</t>
        </is>
      </c>
      <c r="AE4" s="32" t="inlineStr"/>
      <c r="AF4" s="32" t="inlineStr"/>
      <c r="AG4" s="32" t="inlineStr">
        <is>
          <t>Becomes a quick-cash dish (7.0 $/min)</t>
        </is>
      </c>
      <c r="AH4" s="28" t="inlineStr">
        <is>
          <t>$30 · 5m · 20×$2 · 2xp</t>
        </is>
      </c>
      <c r="AI4" s="28" t="inlineStr">
        <is>
          <t>$5 · 5m · 20×$2 · 2xp</t>
        </is>
      </c>
      <c r="AJ4" s="28" t="inlineStr">
        <is>
          <t>2.00 → 7.00</t>
        </is>
      </c>
      <c r="AK4" s="28" t="inlineStr">
        <is>
          <t>ゾンビスープ</t>
        </is>
      </c>
    </row>
    <row r="5">
      <c r="A5" s="28" t="n">
        <v>2</v>
      </c>
      <c r="B5" s="28" t="inlineStr">
        <is>
          <t>Dishwater Soup</t>
        </is>
      </c>
      <c r="C5" s="28" t="n">
        <v>2</v>
      </c>
      <c r="D5" s="28" t="inlineStr">
        <is>
          <t>Level track</t>
        </is>
      </c>
      <c r="E5" s="28" t="inlineStr">
        <is>
          <t>Dishwater Soup</t>
        </is>
      </c>
      <c r="F5" s="28" t="inlineStr">
        <is>
          <t>Yes</t>
        </is>
      </c>
      <c r="G5" s="29" t="inlineStr">
        <is>
          <t>Port EN v1.1</t>
        </is>
      </c>
      <c r="H5" s="30">
        <f>IF(W5&gt;0,X5/W5-1,"")</f>
        <v/>
      </c>
      <c r="I5" s="28" t="inlineStr"/>
      <c r="J5" s="28" t="inlineStr"/>
      <c r="K5" s="31" t="n">
        <v>125</v>
      </c>
      <c r="L5" s="28" t="n">
        <v>15</v>
      </c>
      <c r="M5" s="31" t="n">
        <v>50</v>
      </c>
      <c r="N5" s="28" t="n">
        <v>3</v>
      </c>
      <c r="O5" s="28" t="n">
        <v>5</v>
      </c>
      <c r="P5" s="31" t="n">
        <v>55</v>
      </c>
      <c r="Q5" s="28" t="n">
        <v>15</v>
      </c>
      <c r="R5" s="31" t="n">
        <v>50</v>
      </c>
      <c r="S5" s="28" t="n">
        <v>3</v>
      </c>
      <c r="T5" s="28" t="n">
        <v>5</v>
      </c>
      <c r="U5" s="31" t="n">
        <v>25</v>
      </c>
      <c r="V5" s="31">
        <f>R5*S5-P5</f>
        <v/>
      </c>
      <c r="W5" s="28" t="n">
        <v>1.67</v>
      </c>
      <c r="X5" s="28">
        <f>ROUND(V5/MAX(Q5,1),2)</f>
        <v/>
      </c>
      <c r="Y5" s="28" t="n">
        <v>0.2</v>
      </c>
      <c r="Z5" s="28">
        <f>IF(P5&gt;0,ROUND(V5/P5,2),"")</f>
        <v/>
      </c>
      <c r="AA5" s="28" t="n">
        <v>0.333</v>
      </c>
      <c r="AB5" s="28">
        <f>ROUND(T5/MAX(Q5,1),3)</f>
        <v/>
      </c>
      <c r="AC5" s="32" t="inlineStr">
        <is>
          <t>Cost 125-&gt;55 (-56%)</t>
        </is>
      </c>
      <c r="AD5" s="32" t="inlineStr">
        <is>
          <t>Same dish as EN vanilla; your EN v1.1 numbers copied as-is</t>
        </is>
      </c>
      <c r="AE5" s="32" t="inlineStr"/>
      <c r="AF5" s="32" t="inlineStr"/>
      <c r="AG5" s="32" t="inlineStr"/>
      <c r="AH5" s="28" t="inlineStr">
        <is>
          <t>$125 · 15m · 50×$3 · 5xp</t>
        </is>
      </c>
      <c r="AI5" s="28" t="inlineStr">
        <is>
          <t>$55 · 15m · 50×$3 · 5xp</t>
        </is>
      </c>
      <c r="AJ5" s="28" t="inlineStr">
        <is>
          <t>1.67 → 6.33</t>
        </is>
      </c>
      <c r="AK5" s="28" t="inlineStr">
        <is>
          <t>汚水のスープ</t>
        </is>
      </c>
    </row>
    <row r="6">
      <c r="A6" s="28" t="n">
        <v>3</v>
      </c>
      <c r="B6" s="28" t="inlineStr">
        <is>
          <t>Leftunders</t>
        </is>
      </c>
      <c r="C6" s="28" t="n">
        <v>3</v>
      </c>
      <c r="D6" s="28" t="inlineStr">
        <is>
          <t>Raid recipe</t>
        </is>
      </c>
      <c r="E6" s="28" t="inlineStr">
        <is>
          <t>Leftunders</t>
        </is>
      </c>
      <c r="F6" s="28" t="inlineStr">
        <is>
          <t>Yes</t>
        </is>
      </c>
      <c r="G6" s="29" t="inlineStr">
        <is>
          <t>Port EN v1.1</t>
        </is>
      </c>
      <c r="H6" s="30">
        <f>IF(W6&gt;0,X6/W6-1,"")</f>
        <v/>
      </c>
      <c r="I6" s="28" t="inlineStr"/>
      <c r="J6" s="28" t="inlineStr"/>
      <c r="K6" s="31" t="n">
        <v>400</v>
      </c>
      <c r="L6" s="28" t="n">
        <v>480</v>
      </c>
      <c r="M6" s="31" t="n">
        <v>300</v>
      </c>
      <c r="N6" s="28" t="n">
        <v>3</v>
      </c>
      <c r="O6" s="28" t="n">
        <v>65</v>
      </c>
      <c r="P6" s="31" t="n">
        <v>170</v>
      </c>
      <c r="Q6" s="28" t="n">
        <v>480</v>
      </c>
      <c r="R6" s="31" t="n">
        <v>300</v>
      </c>
      <c r="S6" s="28" t="n">
        <v>3</v>
      </c>
      <c r="T6" s="28" t="n">
        <v>65</v>
      </c>
      <c r="U6" s="31" t="n">
        <v>500</v>
      </c>
      <c r="V6" s="31">
        <f>R6*S6-P6</f>
        <v/>
      </c>
      <c r="W6" s="28" t="n">
        <v>1.04</v>
      </c>
      <c r="X6" s="28">
        <f>ROUND(V6/MAX(Q6,1),2)</f>
        <v/>
      </c>
      <c r="Y6" s="28" t="n">
        <v>1.25</v>
      </c>
      <c r="Z6" s="28">
        <f>IF(P6&gt;0,ROUND(V6/P6,2),"")</f>
        <v/>
      </c>
      <c r="AA6" s="28" t="n">
        <v>0.135</v>
      </c>
      <c r="AB6" s="28">
        <f>ROUND(T6/MAX(Q6,1),3)</f>
        <v/>
      </c>
      <c r="AC6" s="32" t="inlineStr">
        <is>
          <t>Cost 400-&gt;170 (-57%)</t>
        </is>
      </c>
      <c r="AD6" s="32" t="inlineStr">
        <is>
          <t>Same dish as EN vanilla; your EN v1.1 numbers copied as-is</t>
        </is>
      </c>
      <c r="AE6" s="32" t="inlineStr"/>
      <c r="AF6" s="32" t="inlineStr"/>
      <c r="AG6" s="32" t="inlineStr"/>
      <c r="AH6" s="28" t="inlineStr">
        <is>
          <t>$400 · 480m · 300×$3 · 65xp</t>
        </is>
      </c>
      <c r="AI6" s="28" t="inlineStr">
        <is>
          <t>$170 · 480m · 300×$3 · 65xp</t>
        </is>
      </c>
      <c r="AJ6" s="28" t="inlineStr">
        <is>
          <t>1.04 → 1.52</t>
        </is>
      </c>
      <c r="AK6" s="28" t="inlineStr">
        <is>
          <t>あやしい切り落とし</t>
        </is>
      </c>
    </row>
    <row r="7">
      <c r="A7" s="28" t="n">
        <v>4</v>
      </c>
      <c r="B7" s="28" t="inlineStr">
        <is>
          <t>Green Eggs &amp; Sam</t>
        </is>
      </c>
      <c r="C7" s="28" t="n">
        <v>3</v>
      </c>
      <c r="D7" s="28" t="inlineStr">
        <is>
          <t>Level track</t>
        </is>
      </c>
      <c r="E7" s="28" t="inlineStr">
        <is>
          <t>Green Eggs &amp; Sam</t>
        </is>
      </c>
      <c r="F7" s="28" t="inlineStr">
        <is>
          <t>Yes</t>
        </is>
      </c>
      <c r="G7" s="29" t="inlineStr">
        <is>
          <t>Port EN v1.1</t>
        </is>
      </c>
      <c r="H7" s="30">
        <f>IF(W7&gt;0,X7/W7-1,"")</f>
        <v/>
      </c>
      <c r="I7" s="28" t="inlineStr"/>
      <c r="J7" s="28" t="inlineStr"/>
      <c r="K7" s="31" t="n">
        <v>280</v>
      </c>
      <c r="L7" s="28" t="n">
        <v>60</v>
      </c>
      <c r="M7" s="31" t="n">
        <v>180</v>
      </c>
      <c r="N7" s="28" t="n">
        <v>2</v>
      </c>
      <c r="O7" s="28" t="n">
        <v>15</v>
      </c>
      <c r="P7" s="31" t="n">
        <v>280</v>
      </c>
      <c r="Q7" s="28" t="n">
        <v>60</v>
      </c>
      <c r="R7" s="31" t="n">
        <v>180</v>
      </c>
      <c r="S7" s="28" t="n">
        <v>3</v>
      </c>
      <c r="T7" s="28" t="n">
        <v>15</v>
      </c>
      <c r="U7" s="31" t="n">
        <v>80</v>
      </c>
      <c r="V7" s="31">
        <f>R7*S7-P7</f>
        <v/>
      </c>
      <c r="W7" s="28" t="n">
        <v>1.33</v>
      </c>
      <c r="X7" s="28">
        <f>ROUND(V7/MAX(Q7,1),2)</f>
        <v/>
      </c>
      <c r="Y7" s="28" t="n">
        <v>0.29</v>
      </c>
      <c r="Z7" s="28">
        <f>IF(P7&gt;0,ROUND(V7/P7,2),"")</f>
        <v/>
      </c>
      <c r="AA7" s="28" t="n">
        <v>0.25</v>
      </c>
      <c r="AB7" s="28">
        <f>ROUND(T7/MAX(Q7,1),3)</f>
        <v/>
      </c>
      <c r="AC7" s="32" t="inlineStr">
        <is>
          <t>$/serving 2-&gt;3 (+50%)</t>
        </is>
      </c>
      <c r="AD7" s="32" t="inlineStr">
        <is>
          <t>Same dish as EN vanilla; your EN v1.1 numbers copied as-is</t>
        </is>
      </c>
      <c r="AE7" s="32" t="inlineStr"/>
      <c r="AF7" s="32" t="inlineStr"/>
      <c r="AG7" s="32" t="inlineStr"/>
      <c r="AH7" s="28" t="inlineStr">
        <is>
          <t>$280 · 60m · 180×$2 · 15xp</t>
        </is>
      </c>
      <c r="AI7" s="28" t="inlineStr">
        <is>
          <t>$280 · 60m · 180×$3 · 15xp</t>
        </is>
      </c>
      <c r="AJ7" s="28" t="inlineStr">
        <is>
          <t>1.33 → 4.33</t>
        </is>
      </c>
      <c r="AK7" s="28" t="inlineStr">
        <is>
          <t>変色した卵とハム</t>
        </is>
      </c>
    </row>
    <row r="8">
      <c r="A8" s="28" t="n">
        <v>5</v>
      </c>
      <c r="B8" s="28" t="inlineStr">
        <is>
          <t>Finger Sandwiches</t>
        </is>
      </c>
      <c r="C8" s="28" t="n">
        <v>3</v>
      </c>
      <c r="D8" s="28" t="inlineStr">
        <is>
          <t>Raid recipe</t>
        </is>
      </c>
      <c r="E8" s="28" t="inlineStr">
        <is>
          <t>Finger Sandwiches</t>
        </is>
      </c>
      <c r="F8" s="28" t="inlineStr">
        <is>
          <t>Yes</t>
        </is>
      </c>
      <c r="G8" s="33" t="inlineStr">
        <is>
          <t>Port EN v1.1 (no change)</t>
        </is>
      </c>
      <c r="H8" s="30">
        <f>IF(W8&gt;0,X8/W8-1,"")</f>
        <v/>
      </c>
      <c r="I8" s="28" t="inlineStr"/>
      <c r="J8" s="28" t="inlineStr"/>
      <c r="K8" s="31" t="n">
        <v>1100</v>
      </c>
      <c r="L8" s="28" t="n">
        <v>1080</v>
      </c>
      <c r="M8" s="31" t="n">
        <v>650</v>
      </c>
      <c r="N8" s="28" t="n">
        <v>3</v>
      </c>
      <c r="O8" s="28" t="n">
        <v>90</v>
      </c>
      <c r="P8" s="31" t="n">
        <v>1100</v>
      </c>
      <c r="Q8" s="28" t="n">
        <v>1080</v>
      </c>
      <c r="R8" s="31" t="n">
        <v>650</v>
      </c>
      <c r="S8" s="28" t="n">
        <v>3</v>
      </c>
      <c r="T8" s="28" t="n">
        <v>90</v>
      </c>
      <c r="U8" s="31" t="n">
        <v>850</v>
      </c>
      <c r="V8" s="31">
        <f>R8*S8-P8</f>
        <v/>
      </c>
      <c r="W8" s="28" t="n">
        <v>0.79</v>
      </c>
      <c r="X8" s="28">
        <f>ROUND(V8/MAX(Q8,1),2)</f>
        <v/>
      </c>
      <c r="Y8" s="28" t="n">
        <v>0.77</v>
      </c>
      <c r="Z8" s="28">
        <f>IF(P8&gt;0,ROUND(V8/P8,2),"")</f>
        <v/>
      </c>
      <c r="AA8" s="28" t="n">
        <v>0.083</v>
      </c>
      <c r="AB8" s="28">
        <f>ROUND(T8/MAX(Q8,1),3)</f>
        <v/>
      </c>
      <c r="AC8" s="32" t="inlineStr">
        <is>
          <t>—</t>
        </is>
      </c>
      <c r="AD8" s="32" t="inlineStr">
        <is>
          <t>Same dish as EN vanilla; you left it unchanged in EN v1.1</t>
        </is>
      </c>
      <c r="AE8" s="32" t="inlineStr"/>
      <c r="AF8" s="32" t="inlineStr"/>
      <c r="AG8" s="32" t="inlineStr"/>
      <c r="AH8" s="28" t="inlineStr">
        <is>
          <t>$1,100 · 1080m · 650×$3 · 90xp</t>
        </is>
      </c>
      <c r="AI8" s="28" t="inlineStr">
        <is>
          <t>$1,100 · 1080m · 650×$3 · 90xp</t>
        </is>
      </c>
      <c r="AJ8" s="28" t="inlineStr">
        <is>
          <t>0.79 → 0.79</t>
        </is>
      </c>
      <c r="AK8" s="28" t="inlineStr">
        <is>
          <t>指はさんじゃいました</t>
        </is>
      </c>
    </row>
    <row r="9">
      <c r="A9" s="28" t="n">
        <v>6</v>
      </c>
      <c r="B9" s="28" t="inlineStr">
        <is>
          <t>Gello Mold</t>
        </is>
      </c>
      <c r="C9" s="28" t="n">
        <v>4</v>
      </c>
      <c r="D9" s="28" t="inlineStr">
        <is>
          <t>Level track</t>
        </is>
      </c>
      <c r="E9" s="28" t="inlineStr">
        <is>
          <t>Gello Mold</t>
        </is>
      </c>
      <c r="F9" s="28" t="inlineStr">
        <is>
          <t>Yes</t>
        </is>
      </c>
      <c r="G9" s="33" t="inlineStr">
        <is>
          <t>Port EN v1.1 (no change)</t>
        </is>
      </c>
      <c r="H9" s="30">
        <f>IF(W9&gt;0,X9/W9-1,"")</f>
        <v/>
      </c>
      <c r="I9" s="28" t="inlineStr"/>
      <c r="J9" s="28" t="inlineStr"/>
      <c r="K9" s="31" t="n">
        <v>475</v>
      </c>
      <c r="L9" s="28" t="n">
        <v>720</v>
      </c>
      <c r="M9" s="31" t="n">
        <v>400</v>
      </c>
      <c r="N9" s="28" t="n">
        <v>3</v>
      </c>
      <c r="O9" s="28" t="n">
        <v>60</v>
      </c>
      <c r="P9" s="31" t="n">
        <v>475</v>
      </c>
      <c r="Q9" s="28" t="n">
        <v>720</v>
      </c>
      <c r="R9" s="31" t="n">
        <v>400</v>
      </c>
      <c r="S9" s="28" t="n">
        <v>3</v>
      </c>
      <c r="T9" s="28" t="n">
        <v>60</v>
      </c>
      <c r="U9" s="31" t="n">
        <v>725</v>
      </c>
      <c r="V9" s="31">
        <f>R9*S9-P9</f>
        <v/>
      </c>
      <c r="W9" s="28" t="n">
        <v>1.01</v>
      </c>
      <c r="X9" s="28">
        <f>ROUND(V9/MAX(Q9,1),2)</f>
        <v/>
      </c>
      <c r="Y9" s="28" t="n">
        <v>1.53</v>
      </c>
      <c r="Z9" s="28">
        <f>IF(P9&gt;0,ROUND(V9/P9,2),"")</f>
        <v/>
      </c>
      <c r="AA9" s="28" t="n">
        <v>0.083</v>
      </c>
      <c r="AB9" s="28">
        <f>ROUND(T9/MAX(Q9,1),3)</f>
        <v/>
      </c>
      <c r="AC9" s="32" t="inlineStr">
        <is>
          <t>—</t>
        </is>
      </c>
      <c r="AD9" s="32" t="inlineStr">
        <is>
          <t>Same dish as EN vanilla; you left it unchanged in EN v1.1</t>
        </is>
      </c>
      <c r="AE9" s="32" t="inlineStr"/>
      <c r="AF9" s="32" t="inlineStr"/>
      <c r="AG9" s="32" t="inlineStr"/>
      <c r="AH9" s="28" t="inlineStr">
        <is>
          <t>$475 · 720m · 400×$3 · 60xp</t>
        </is>
      </c>
      <c r="AI9" s="28" t="inlineStr">
        <is>
          <t>$475 · 720m · 400×$3 · 60xp</t>
        </is>
      </c>
      <c r="AJ9" s="28" t="inlineStr">
        <is>
          <t>1.01 → 1.01</t>
        </is>
      </c>
      <c r="AK9" s="28" t="inlineStr">
        <is>
          <t>不気味なゼリー</t>
        </is>
      </c>
    </row>
    <row r="10">
      <c r="A10" s="28" t="n">
        <v>7</v>
      </c>
      <c r="B10" s="28" t="inlineStr">
        <is>
          <t>Toe Jam Sandwiches</t>
        </is>
      </c>
      <c r="C10" s="28" t="n">
        <v>4</v>
      </c>
      <c r="D10" s="28" t="inlineStr">
        <is>
          <t>Raid recipe</t>
        </is>
      </c>
      <c r="E10" s="28" t="inlineStr">
        <is>
          <t>Toe Jam Sandwiches</t>
        </is>
      </c>
      <c r="F10" s="28" t="inlineStr">
        <is>
          <t>Yes</t>
        </is>
      </c>
      <c r="G10" s="33" t="inlineStr">
        <is>
          <t>Port EN v1.1 (no change)</t>
        </is>
      </c>
      <c r="H10" s="30">
        <f>IF(W10&gt;0,X10/W10-1,"")</f>
        <v/>
      </c>
      <c r="I10" s="28" t="inlineStr"/>
      <c r="J10" s="28" t="inlineStr"/>
      <c r="K10" s="31" t="n">
        <v>190</v>
      </c>
      <c r="L10" s="28" t="n">
        <v>90</v>
      </c>
      <c r="M10" s="31" t="n">
        <v>100</v>
      </c>
      <c r="N10" s="28" t="n">
        <v>3</v>
      </c>
      <c r="O10" s="28" t="n">
        <v>20</v>
      </c>
      <c r="P10" s="31" t="n">
        <v>190</v>
      </c>
      <c r="Q10" s="28" t="n">
        <v>90</v>
      </c>
      <c r="R10" s="31" t="n">
        <v>100</v>
      </c>
      <c r="S10" s="28" t="n">
        <v>3</v>
      </c>
      <c r="T10" s="28" t="n">
        <v>20</v>
      </c>
      <c r="U10" s="31" t="n">
        <v>110</v>
      </c>
      <c r="V10" s="31">
        <f>R10*S10-P10</f>
        <v/>
      </c>
      <c r="W10" s="28" t="n">
        <v>1.22</v>
      </c>
      <c r="X10" s="28">
        <f>ROUND(V10/MAX(Q10,1),2)</f>
        <v/>
      </c>
      <c r="Y10" s="28" t="n">
        <v>0.58</v>
      </c>
      <c r="Z10" s="28">
        <f>IF(P10&gt;0,ROUND(V10/P10,2),"")</f>
        <v/>
      </c>
      <c r="AA10" s="28" t="n">
        <v>0.222</v>
      </c>
      <c r="AB10" s="28">
        <f>ROUND(T10/MAX(Q10,1),3)</f>
        <v/>
      </c>
      <c r="AC10" s="32" t="inlineStr">
        <is>
          <t>—</t>
        </is>
      </c>
      <c r="AD10" s="32" t="inlineStr">
        <is>
          <t>Same dish as EN vanilla; you left it unchanged in EN v1.1</t>
        </is>
      </c>
      <c r="AE10" s="32" t="inlineStr"/>
      <c r="AF10" s="32" t="inlineStr"/>
      <c r="AG10" s="32" t="inlineStr"/>
      <c r="AH10" s="28" t="inlineStr">
        <is>
          <t>$190 · 90m · 100×$3 · 20xp</t>
        </is>
      </c>
      <c r="AI10" s="28" t="inlineStr">
        <is>
          <t>$190 · 90m · 100×$3 · 20xp</t>
        </is>
      </c>
      <c r="AJ10" s="28" t="inlineStr">
        <is>
          <t>1.22 → 1.22</t>
        </is>
      </c>
      <c r="AK10" s="28" t="inlineStr">
        <is>
          <t>足はさんじゃいました</t>
        </is>
      </c>
    </row>
    <row r="11">
      <c r="A11" s="28" t="n">
        <v>8</v>
      </c>
      <c r="B11" s="28" t="inlineStr">
        <is>
          <t>Dough-Nots</t>
        </is>
      </c>
      <c r="C11" s="28" t="n">
        <v>4</v>
      </c>
      <c r="D11" s="28" t="inlineStr">
        <is>
          <t>Raid recipe</t>
        </is>
      </c>
      <c r="E11" s="28" t="inlineStr">
        <is>
          <t>Dough-Nots</t>
        </is>
      </c>
      <c r="F11" s="28" t="inlineStr">
        <is>
          <t>Yes</t>
        </is>
      </c>
      <c r="G11" s="29" t="inlineStr">
        <is>
          <t>Port EN v1.1</t>
        </is>
      </c>
      <c r="H11" s="30">
        <f>IF(W11&gt;0,X11/W11-1,"")</f>
        <v/>
      </c>
      <c r="I11" s="28" t="inlineStr"/>
      <c r="J11" s="28" t="inlineStr"/>
      <c r="K11" s="31" t="n">
        <v>235</v>
      </c>
      <c r="L11" s="28" t="n">
        <v>180</v>
      </c>
      <c r="M11" s="31" t="n">
        <v>220</v>
      </c>
      <c r="N11" s="28" t="n">
        <v>2</v>
      </c>
      <c r="O11" s="28" t="n">
        <v>25</v>
      </c>
      <c r="P11" s="31" t="n">
        <v>70</v>
      </c>
      <c r="Q11" s="28" t="n">
        <v>180</v>
      </c>
      <c r="R11" s="31" t="n">
        <v>260</v>
      </c>
      <c r="S11" s="28" t="n">
        <v>2</v>
      </c>
      <c r="T11" s="28" t="n">
        <v>25</v>
      </c>
      <c r="U11" s="31" t="n">
        <v>205</v>
      </c>
      <c r="V11" s="31">
        <f>R11*S11-P11</f>
        <v/>
      </c>
      <c r="W11" s="28" t="n">
        <v>1.14</v>
      </c>
      <c r="X11" s="28">
        <f>ROUND(V11/MAX(Q11,1),2)</f>
        <v/>
      </c>
      <c r="Y11" s="28" t="n">
        <v>0.87</v>
      </c>
      <c r="Z11" s="28">
        <f>IF(P11&gt;0,ROUND(V11/P11,2),"")</f>
        <v/>
      </c>
      <c r="AA11" s="28" t="n">
        <v>0.139</v>
      </c>
      <c r="AB11" s="28">
        <f>ROUND(T11/MAX(Q11,1),3)</f>
        <v/>
      </c>
      <c r="AC11" s="32" t="inlineStr">
        <is>
          <t>Cost 235-&gt;70 (-70%); Servings 220-&gt;260 (+18%)</t>
        </is>
      </c>
      <c r="AD11" s="32" t="inlineStr">
        <is>
          <t>Same dish as EN vanilla; your EN v1.1 numbers copied as-is</t>
        </is>
      </c>
      <c r="AE11" s="32" t="inlineStr"/>
      <c r="AF11" s="32" t="inlineStr"/>
      <c r="AG11" s="32" t="inlineStr"/>
      <c r="AH11" s="28" t="inlineStr">
        <is>
          <t>$235 · 180m · 220×$2 · 25xp</t>
        </is>
      </c>
      <c r="AI11" s="28" t="inlineStr">
        <is>
          <t>$70 · 180m · 260×$2 · 25xp</t>
        </is>
      </c>
      <c r="AJ11" s="28" t="inlineStr">
        <is>
          <t>1.14 → 2.50</t>
        </is>
      </c>
      <c r="AK11" s="28" t="inlineStr">
        <is>
          <t>ゾンビドーナッツ</t>
        </is>
      </c>
    </row>
    <row r="12">
      <c r="A12" s="28" t="n">
        <v>9</v>
      </c>
      <c r="B12" s="28" t="inlineStr">
        <is>
          <t>Handburgers &amp; Flies</t>
        </is>
      </c>
      <c r="C12" s="28" t="n">
        <v>5</v>
      </c>
      <c r="D12" s="28" t="inlineStr">
        <is>
          <t>Level track</t>
        </is>
      </c>
      <c r="E12" s="28" t="inlineStr">
        <is>
          <t>Handburgers &amp; Flies</t>
        </is>
      </c>
      <c r="F12" s="28" t="inlineStr">
        <is>
          <t>Yes</t>
        </is>
      </c>
      <c r="G12" s="29" t="inlineStr">
        <is>
          <t>Port EN v1.1</t>
        </is>
      </c>
      <c r="H12" s="30">
        <f>IF(W12&gt;0,X12/W12-1,"")</f>
        <v/>
      </c>
      <c r="I12" s="28" t="inlineStr"/>
      <c r="J12" s="28" t="inlineStr"/>
      <c r="K12" s="31" t="n">
        <v>310</v>
      </c>
      <c r="L12" s="28" t="n">
        <v>300</v>
      </c>
      <c r="M12" s="31" t="n">
        <v>320</v>
      </c>
      <c r="N12" s="28" t="n">
        <v>2</v>
      </c>
      <c r="O12" s="28" t="n">
        <v>45</v>
      </c>
      <c r="P12" s="31" t="n">
        <v>90</v>
      </c>
      <c r="Q12" s="28" t="n">
        <v>300</v>
      </c>
      <c r="R12" s="31" t="n">
        <v>375</v>
      </c>
      <c r="S12" s="28" t="n">
        <v>2</v>
      </c>
      <c r="T12" s="28" t="n">
        <v>45</v>
      </c>
      <c r="U12" s="31" t="n">
        <v>330</v>
      </c>
      <c r="V12" s="31">
        <f>R12*S12-P12</f>
        <v/>
      </c>
      <c r="W12" s="28" t="n">
        <v>1.1</v>
      </c>
      <c r="X12" s="28">
        <f>ROUND(V12/MAX(Q12,1),2)</f>
        <v/>
      </c>
      <c r="Y12" s="28" t="n">
        <v>1.06</v>
      </c>
      <c r="Z12" s="28">
        <f>IF(P12&gt;0,ROUND(V12/P12,2),"")</f>
        <v/>
      </c>
      <c r="AA12" s="28" t="n">
        <v>0.15</v>
      </c>
      <c r="AB12" s="28">
        <f>ROUND(T12/MAX(Q12,1),3)</f>
        <v/>
      </c>
      <c r="AC12" s="32" t="inlineStr">
        <is>
          <t>Cost 310-&gt;90 (-71%); Servings 320-&gt;375 (+17%)</t>
        </is>
      </c>
      <c r="AD12" s="32" t="inlineStr">
        <is>
          <t>Same dish as EN vanilla; your EN v1.1 numbers copied as-is</t>
        </is>
      </c>
      <c r="AE12" s="32" t="inlineStr"/>
      <c r="AF12" s="32" t="inlineStr"/>
      <c r="AG12" s="32" t="inlineStr"/>
      <c r="AH12" s="28" t="inlineStr">
        <is>
          <t>$310 · 300m · 320×$2 · 45xp</t>
        </is>
      </c>
      <c r="AI12" s="28" t="inlineStr">
        <is>
          <t>$90 · 300m · 375×$2 · 45xp</t>
        </is>
      </c>
      <c r="AJ12" s="28" t="inlineStr">
        <is>
          <t>1.10 → 2.20</t>
        </is>
      </c>
      <c r="AK12" s="28" t="inlineStr">
        <is>
          <t>ハンドバーガーとフライ</t>
        </is>
      </c>
    </row>
    <row r="13">
      <c r="A13" s="28" t="n">
        <v>10</v>
      </c>
      <c r="B13" s="28" t="inlineStr">
        <is>
          <t>Green-plate Special</t>
        </is>
      </c>
      <c r="C13" s="28" t="n">
        <v>5</v>
      </c>
      <c r="D13" s="28" t="inlineStr">
        <is>
          <t>Raid recipe</t>
        </is>
      </c>
      <c r="E13" s="28" t="inlineStr">
        <is>
          <t>Green-plate Special</t>
        </is>
      </c>
      <c r="F13" s="28" t="inlineStr">
        <is>
          <t>Yes</t>
        </is>
      </c>
      <c r="G13" s="29" t="inlineStr">
        <is>
          <t>Port EN v1.1</t>
        </is>
      </c>
      <c r="H13" s="30">
        <f>IF(W13&gt;0,X13/W13-1,"")</f>
        <v/>
      </c>
      <c r="I13" s="28" t="inlineStr"/>
      <c r="J13" s="28" t="inlineStr"/>
      <c r="K13" s="31" t="n">
        <v>300</v>
      </c>
      <c r="L13" s="28" t="n">
        <v>30</v>
      </c>
      <c r="M13" s="31" t="n">
        <v>115</v>
      </c>
      <c r="N13" s="28" t="n">
        <v>3</v>
      </c>
      <c r="O13" s="28" t="n">
        <v>12</v>
      </c>
      <c r="P13" s="31" t="n">
        <v>230</v>
      </c>
      <c r="Q13" s="28" t="n">
        <v>30</v>
      </c>
      <c r="R13" s="31" t="n">
        <v>120</v>
      </c>
      <c r="S13" s="28" t="n">
        <v>3</v>
      </c>
      <c r="T13" s="28" t="n">
        <v>12</v>
      </c>
      <c r="U13" s="31" t="n">
        <v>45</v>
      </c>
      <c r="V13" s="31">
        <f>R13*S13-P13</f>
        <v/>
      </c>
      <c r="W13" s="28" t="n">
        <v>1.5</v>
      </c>
      <c r="X13" s="28">
        <f>ROUND(V13/MAX(Q13,1),2)</f>
        <v/>
      </c>
      <c r="Y13" s="28" t="n">
        <v>0.15</v>
      </c>
      <c r="Z13" s="28">
        <f>IF(P13&gt;0,ROUND(V13/P13,2),"")</f>
        <v/>
      </c>
      <c r="AA13" s="28" t="n">
        <v>0.4</v>
      </c>
      <c r="AB13" s="28">
        <f>ROUND(T13/MAX(Q13,1),3)</f>
        <v/>
      </c>
      <c r="AC13" s="32" t="inlineStr">
        <is>
          <t>Cost 300-&gt;230 (-23%); Servings 115-&gt;120 (+4%)</t>
        </is>
      </c>
      <c r="AD13" s="32" t="inlineStr">
        <is>
          <t>Same dish as EN vanilla; your EN v1.1 numbers copied as-is</t>
        </is>
      </c>
      <c r="AE13" s="32" t="inlineStr"/>
      <c r="AF13" s="32" t="inlineStr"/>
      <c r="AG13" s="32" t="inlineStr"/>
      <c r="AH13" s="28" t="inlineStr">
        <is>
          <t>$300 · 30m · 115×$3 · 12xp</t>
        </is>
      </c>
      <c r="AI13" s="28" t="inlineStr">
        <is>
          <t>$230 · 30m · 120×$3 · 12xp</t>
        </is>
      </c>
      <c r="AJ13" s="28" t="inlineStr">
        <is>
          <t>1.50 → 4.33</t>
        </is>
      </c>
      <c r="AK13" s="28" t="inlineStr">
        <is>
          <t>ゾンビサラダ</t>
        </is>
      </c>
    </row>
    <row r="14">
      <c r="A14" s="28" t="n">
        <v>11</v>
      </c>
      <c r="B14" s="28" t="inlineStr">
        <is>
          <t>Onion Wrongs</t>
        </is>
      </c>
      <c r="C14" s="28" t="n">
        <v>5</v>
      </c>
      <c r="D14" s="28" t="inlineStr">
        <is>
          <t>Raid recipe</t>
        </is>
      </c>
      <c r="E14" s="28" t="inlineStr">
        <is>
          <t>Onion Wrongs</t>
        </is>
      </c>
      <c r="F14" s="28" t="inlineStr">
        <is>
          <t>Yes</t>
        </is>
      </c>
      <c r="G14" s="29" t="inlineStr">
        <is>
          <t>Port EN v1.1</t>
        </is>
      </c>
      <c r="H14" s="30">
        <f>IF(W14&gt;0,X14/W14-1,"")</f>
        <v/>
      </c>
      <c r="I14" s="28" t="inlineStr"/>
      <c r="J14" s="28" t="inlineStr"/>
      <c r="K14" s="31" t="n">
        <v>100</v>
      </c>
      <c r="L14" s="28" t="n">
        <v>15</v>
      </c>
      <c r="M14" s="31" t="n">
        <v>125</v>
      </c>
      <c r="N14" s="28" t="n">
        <v>1</v>
      </c>
      <c r="O14" s="28" t="n">
        <v>6</v>
      </c>
      <c r="P14" s="31" t="n">
        <v>30</v>
      </c>
      <c r="Q14" s="28" t="n">
        <v>15</v>
      </c>
      <c r="R14" s="31" t="n">
        <v>125</v>
      </c>
      <c r="S14" s="28" t="n">
        <v>1</v>
      </c>
      <c r="T14" s="28" t="n">
        <v>6</v>
      </c>
      <c r="U14" s="31" t="n">
        <v>25</v>
      </c>
      <c r="V14" s="31">
        <f>R14*S14-P14</f>
        <v/>
      </c>
      <c r="W14" s="28" t="n">
        <v>1.67</v>
      </c>
      <c r="X14" s="28">
        <f>ROUND(V14/MAX(Q14,1),2)</f>
        <v/>
      </c>
      <c r="Y14" s="28" t="n">
        <v>0.25</v>
      </c>
      <c r="Z14" s="28">
        <f>IF(P14&gt;0,ROUND(V14/P14,2),"")</f>
        <v/>
      </c>
      <c r="AA14" s="28" t="n">
        <v>0.4</v>
      </c>
      <c r="AB14" s="28">
        <f>ROUND(T14/MAX(Q14,1),3)</f>
        <v/>
      </c>
      <c r="AC14" s="32" t="inlineStr">
        <is>
          <t>Cost 100-&gt;30 (-70%)</t>
        </is>
      </c>
      <c r="AD14" s="32" t="inlineStr">
        <is>
          <t>Same dish as EN vanilla; your EN v1.1 numbers copied as-is</t>
        </is>
      </c>
      <c r="AE14" s="32" t="inlineStr"/>
      <c r="AF14" s="32" t="inlineStr"/>
      <c r="AG14" s="32" t="inlineStr"/>
      <c r="AH14" s="28" t="inlineStr">
        <is>
          <t>$100 · 15m · 125×$1 · 6xp</t>
        </is>
      </c>
      <c r="AI14" s="28" t="inlineStr">
        <is>
          <t>$30 · 15m · 125×$1 · 6xp</t>
        </is>
      </c>
      <c r="AJ14" s="28" t="inlineStr">
        <is>
          <t>1.67 → 6.33</t>
        </is>
      </c>
      <c r="AK14" s="28" t="inlineStr">
        <is>
          <t>ニオウニオンリング</t>
        </is>
      </c>
    </row>
    <row r="15">
      <c r="A15" s="28" t="n">
        <v>12</v>
      </c>
      <c r="B15" s="28" t="inlineStr">
        <is>
          <t>Sloppy "Joe"</t>
        </is>
      </c>
      <c r="C15" s="28" t="n">
        <v>6</v>
      </c>
      <c r="D15" s="28" t="inlineStr">
        <is>
          <t>Level track</t>
        </is>
      </c>
      <c r="E15" s="28" t="inlineStr">
        <is>
          <t>Sloppy "Joe"</t>
        </is>
      </c>
      <c r="F15" s="28" t="inlineStr">
        <is>
          <t>Yes</t>
        </is>
      </c>
      <c r="G15" s="29" t="inlineStr">
        <is>
          <t>Port EN v1.1</t>
        </is>
      </c>
      <c r="H15" s="30">
        <f>IF(W15&gt;0,X15/W15-1,"")</f>
        <v/>
      </c>
      <c r="I15" s="28" t="inlineStr"/>
      <c r="J15" s="28" t="inlineStr"/>
      <c r="K15" s="31" t="n">
        <v>1500</v>
      </c>
      <c r="L15" s="28" t="n">
        <v>1440</v>
      </c>
      <c r="M15" s="31" t="n">
        <v>850</v>
      </c>
      <c r="N15" s="28" t="n">
        <v>3</v>
      </c>
      <c r="O15" s="28" t="n">
        <v>95</v>
      </c>
      <c r="P15" s="31" t="n">
        <v>1500</v>
      </c>
      <c r="Q15" s="28" t="n">
        <v>1440</v>
      </c>
      <c r="R15" s="31" t="n">
        <v>900</v>
      </c>
      <c r="S15" s="28" t="n">
        <v>3</v>
      </c>
      <c r="T15" s="28" t="n">
        <v>95</v>
      </c>
      <c r="U15" s="31" t="n">
        <v>1050</v>
      </c>
      <c r="V15" s="31">
        <f>R15*S15-P15</f>
        <v/>
      </c>
      <c r="W15" s="28" t="n">
        <v>0.73</v>
      </c>
      <c r="X15" s="28">
        <f>ROUND(V15/MAX(Q15,1),2)</f>
        <v/>
      </c>
      <c r="Y15" s="28" t="n">
        <v>0.7</v>
      </c>
      <c r="Z15" s="28">
        <f>IF(P15&gt;0,ROUND(V15/P15,2),"")</f>
        <v/>
      </c>
      <c r="AA15" s="28" t="n">
        <v>0.066</v>
      </c>
      <c r="AB15" s="28">
        <f>ROUND(T15/MAX(Q15,1),3)</f>
        <v/>
      </c>
      <c r="AC15" s="32" t="inlineStr">
        <is>
          <t>Servings 850-&gt;900 (+6%)</t>
        </is>
      </c>
      <c r="AD15" s="32" t="inlineStr">
        <is>
          <t>Same dish as EN vanilla; your EN v1.1 numbers copied as-is</t>
        </is>
      </c>
      <c r="AE15" s="32" t="inlineStr"/>
      <c r="AF15" s="32" t="inlineStr"/>
      <c r="AG15" s="32" t="inlineStr"/>
      <c r="AH15" s="28" t="inlineStr">
        <is>
          <t>$1,500 · 1440m · 850×$3 · 95xp</t>
        </is>
      </c>
      <c r="AI15" s="28" t="inlineStr">
        <is>
          <t>$1,500 · 1440m · 900×$3 · 95xp</t>
        </is>
      </c>
      <c r="AJ15" s="28" t="inlineStr">
        <is>
          <t>0.73 → 0.83</t>
        </is>
      </c>
      <c r="AK15" s="28" t="inlineStr">
        <is>
          <t>どろんこバーガー</t>
        </is>
      </c>
    </row>
    <row r="16">
      <c r="A16" s="28" t="n">
        <v>13</v>
      </c>
      <c r="B16" s="28" t="inlineStr">
        <is>
          <t>Tumor Melts</t>
        </is>
      </c>
      <c r="C16" s="28" t="n">
        <v>6</v>
      </c>
      <c r="D16" s="28" t="inlineStr">
        <is>
          <t>Raid recipe</t>
        </is>
      </c>
      <c r="E16" s="28" t="inlineStr">
        <is>
          <t>Tumor Melts</t>
        </is>
      </c>
      <c r="F16" s="28" t="inlineStr">
        <is>
          <t>Yes</t>
        </is>
      </c>
      <c r="G16" s="33" t="inlineStr">
        <is>
          <t>Port EN v1.1 (no change)</t>
        </is>
      </c>
      <c r="H16" s="30">
        <f>IF(W16&gt;0,X16/W16-1,"")</f>
        <v/>
      </c>
      <c r="I16" s="28" t="inlineStr"/>
      <c r="J16" s="28" t="inlineStr"/>
      <c r="K16" s="31" t="n">
        <v>2600</v>
      </c>
      <c r="L16" s="28" t="n">
        <v>2880</v>
      </c>
      <c r="M16" s="31" t="n">
        <v>1100</v>
      </c>
      <c r="N16" s="28" t="n">
        <v>4</v>
      </c>
      <c r="O16" s="28" t="n">
        <v>160</v>
      </c>
      <c r="P16" s="31" t="n">
        <v>2600</v>
      </c>
      <c r="Q16" s="28" t="n">
        <v>2880</v>
      </c>
      <c r="R16" s="31" t="n">
        <v>1100</v>
      </c>
      <c r="S16" s="28" t="n">
        <v>4</v>
      </c>
      <c r="T16" s="28" t="n">
        <v>160</v>
      </c>
      <c r="U16" s="31" t="n">
        <v>1800</v>
      </c>
      <c r="V16" s="31">
        <f>R16*S16-P16</f>
        <v/>
      </c>
      <c r="W16" s="28" t="n">
        <v>0.62</v>
      </c>
      <c r="X16" s="28">
        <f>ROUND(V16/MAX(Q16,1),2)</f>
        <v/>
      </c>
      <c r="Y16" s="28" t="n">
        <v>0.6899999999999999</v>
      </c>
      <c r="Z16" s="28">
        <f>IF(P16&gt;0,ROUND(V16/P16,2),"")</f>
        <v/>
      </c>
      <c r="AA16" s="28" t="n">
        <v>0.056</v>
      </c>
      <c r="AB16" s="28">
        <f>ROUND(T16/MAX(Q16,1),3)</f>
        <v/>
      </c>
      <c r="AC16" s="32" t="inlineStr">
        <is>
          <t>—</t>
        </is>
      </c>
      <c r="AD16" s="32" t="inlineStr">
        <is>
          <t>Same dish as EN vanilla; you left it unchanged in EN v1.1</t>
        </is>
      </c>
      <c r="AE16" s="32" t="inlineStr"/>
      <c r="AF16" s="32" t="inlineStr"/>
      <c r="AG16" s="32" t="inlineStr"/>
      <c r="AH16" s="28" t="inlineStr">
        <is>
          <t>$2,600 · 2880m · 1100×$4 · 160xp</t>
        </is>
      </c>
      <c r="AI16" s="28" t="inlineStr">
        <is>
          <t>$2,600 · 2880m · 1100×$4 · 160xp</t>
        </is>
      </c>
      <c r="AJ16" s="28" t="inlineStr">
        <is>
          <t>0.62 → 0.62</t>
        </is>
      </c>
      <c r="AK16" s="28" t="inlineStr">
        <is>
          <t>内臓サンド</t>
        </is>
      </c>
    </row>
    <row r="17">
      <c r="A17" s="28" t="n">
        <v>14</v>
      </c>
      <c r="B17" s="28" t="inlineStr">
        <is>
          <t>Zomelets</t>
        </is>
      </c>
      <c r="C17" s="28" t="n">
        <v>6</v>
      </c>
      <c r="D17" s="28" t="inlineStr">
        <is>
          <t>Raid recipe</t>
        </is>
      </c>
      <c r="E17" s="28" t="inlineStr">
        <is>
          <t>Zomelets</t>
        </is>
      </c>
      <c r="F17" s="28" t="inlineStr">
        <is>
          <t>Yes</t>
        </is>
      </c>
      <c r="G17" s="29" t="inlineStr">
        <is>
          <t>Port EN v1.1</t>
        </is>
      </c>
      <c r="H17" s="30">
        <f>IF(W17&gt;0,X17/W17-1,"")</f>
        <v/>
      </c>
      <c r="I17" s="28" t="inlineStr"/>
      <c r="J17" s="28" t="inlineStr"/>
      <c r="K17" s="31" t="n">
        <v>300</v>
      </c>
      <c r="L17" s="28" t="n">
        <v>60</v>
      </c>
      <c r="M17" s="31" t="n">
        <v>190</v>
      </c>
      <c r="N17" s="28" t="n">
        <v>2</v>
      </c>
      <c r="O17" s="28" t="n">
        <v>20</v>
      </c>
      <c r="P17" s="31" t="n">
        <v>300</v>
      </c>
      <c r="Q17" s="28" t="n">
        <v>60</v>
      </c>
      <c r="R17" s="31" t="n">
        <v>200</v>
      </c>
      <c r="S17" s="28" t="n">
        <v>2</v>
      </c>
      <c r="T17" s="28" t="n">
        <v>20</v>
      </c>
      <c r="U17" s="31" t="n">
        <v>80</v>
      </c>
      <c r="V17" s="31">
        <f>R17*S17-P17</f>
        <v/>
      </c>
      <c r="W17" s="28" t="n">
        <v>1.33</v>
      </c>
      <c r="X17" s="28">
        <f>ROUND(V17/MAX(Q17,1),2)</f>
        <v/>
      </c>
      <c r="Y17" s="28" t="n">
        <v>0.27</v>
      </c>
      <c r="Z17" s="28">
        <f>IF(P17&gt;0,ROUND(V17/P17,2),"")</f>
        <v/>
      </c>
      <c r="AA17" s="28" t="n">
        <v>0.333</v>
      </c>
      <c r="AB17" s="28">
        <f>ROUND(T17/MAX(Q17,1),3)</f>
        <v/>
      </c>
      <c r="AC17" s="32" t="inlineStr">
        <is>
          <t>Servings 190-&gt;200 (+5%)</t>
        </is>
      </c>
      <c r="AD17" s="32" t="inlineStr">
        <is>
          <t>Same dish as EN vanilla; your EN v1.1 numbers copied as-is</t>
        </is>
      </c>
      <c r="AE17" s="32" t="inlineStr"/>
      <c r="AF17" s="32" t="inlineStr"/>
      <c r="AG17" s="32" t="inlineStr"/>
      <c r="AH17" s="28" t="inlineStr">
        <is>
          <t>$300 · 60m · 190×$2 · 20xp</t>
        </is>
      </c>
      <c r="AI17" s="28" t="inlineStr">
        <is>
          <t>$300 · 60m · 200×$2 · 20xp</t>
        </is>
      </c>
      <c r="AJ17" s="28" t="inlineStr">
        <is>
          <t>1.33 → 1.67</t>
        </is>
      </c>
      <c r="AK17" s="28" t="inlineStr">
        <is>
          <t>ゾンビオムレツ</t>
        </is>
      </c>
    </row>
    <row r="18">
      <c r="A18" s="28" t="n">
        <v>15</v>
      </c>
      <c r="B18" s="28" t="inlineStr">
        <is>
          <t>Meat Lover Pizza</t>
        </is>
      </c>
      <c r="C18" s="28" t="n">
        <v>7</v>
      </c>
      <c r="D18" s="28" t="inlineStr">
        <is>
          <t>Level track</t>
        </is>
      </c>
      <c r="E18" s="28" t="inlineStr">
        <is>
          <t>Meat Lover Pizza</t>
        </is>
      </c>
      <c r="F18" s="28" t="inlineStr">
        <is>
          <t>Yes</t>
        </is>
      </c>
      <c r="G18" s="33" t="inlineStr">
        <is>
          <t>Port EN v1.1 (no change)</t>
        </is>
      </c>
      <c r="H18" s="30">
        <f>IF(W18&gt;0,X18/W18-1,"")</f>
        <v/>
      </c>
      <c r="I18" s="28" t="inlineStr"/>
      <c r="J18" s="28" t="inlineStr"/>
      <c r="K18" s="31" t="n">
        <v>460</v>
      </c>
      <c r="L18" s="28" t="n">
        <v>120</v>
      </c>
      <c r="M18" s="31" t="n">
        <v>150</v>
      </c>
      <c r="N18" s="28" t="n">
        <v>4</v>
      </c>
      <c r="O18" s="28" t="n">
        <v>30</v>
      </c>
      <c r="P18" s="31" t="n">
        <v>460</v>
      </c>
      <c r="Q18" s="28" t="n">
        <v>120</v>
      </c>
      <c r="R18" s="31" t="n">
        <v>150</v>
      </c>
      <c r="S18" s="28" t="n">
        <v>4</v>
      </c>
      <c r="T18" s="28" t="n">
        <v>30</v>
      </c>
      <c r="U18" s="31" t="n">
        <v>140</v>
      </c>
      <c r="V18" s="31">
        <f>R18*S18-P18</f>
        <v/>
      </c>
      <c r="W18" s="28" t="n">
        <v>1.17</v>
      </c>
      <c r="X18" s="28">
        <f>ROUND(V18/MAX(Q18,1),2)</f>
        <v/>
      </c>
      <c r="Y18" s="28" t="n">
        <v>0.3</v>
      </c>
      <c r="Z18" s="28">
        <f>IF(P18&gt;0,ROUND(V18/P18,2),"")</f>
        <v/>
      </c>
      <c r="AA18" s="28" t="n">
        <v>0.25</v>
      </c>
      <c r="AB18" s="28">
        <f>ROUND(T18/MAX(Q18,1),3)</f>
        <v/>
      </c>
      <c r="AC18" s="32" t="inlineStr">
        <is>
          <t>—</t>
        </is>
      </c>
      <c r="AD18" s="32" t="inlineStr">
        <is>
          <t>Same dish as EN vanilla; you left it unchanged in EN v1.1</t>
        </is>
      </c>
      <c r="AE18" s="32" t="inlineStr"/>
      <c r="AF18" s="32" t="inlineStr"/>
      <c r="AG18" s="32" t="inlineStr"/>
      <c r="AH18" s="28" t="inlineStr">
        <is>
          <t>$460 · 120m · 150×$4 · 30xp</t>
        </is>
      </c>
      <c r="AI18" s="28" t="inlineStr">
        <is>
          <t>$460 · 120m · 150×$4 · 30xp</t>
        </is>
      </c>
      <c r="AJ18" s="28" t="inlineStr">
        <is>
          <t>1.17 → 1.17</t>
        </is>
      </c>
      <c r="AK18" s="28" t="inlineStr">
        <is>
          <t>ゾンビピザ</t>
        </is>
      </c>
    </row>
    <row r="19">
      <c r="A19" s="28" t="n">
        <v>16</v>
      </c>
      <c r="B19" s="28" t="inlineStr">
        <is>
          <t>Pork 'n' Brains</t>
        </is>
      </c>
      <c r="C19" s="28" t="n">
        <v>7</v>
      </c>
      <c r="D19" s="28" t="inlineStr">
        <is>
          <t>Raid recipe</t>
        </is>
      </c>
      <c r="E19" s="28" t="inlineStr">
        <is>
          <t>Pork 'n' Brains</t>
        </is>
      </c>
      <c r="F19" s="28" t="inlineStr">
        <is>
          <t>Yes</t>
        </is>
      </c>
      <c r="G19" s="29" t="inlineStr">
        <is>
          <t>Port EN v1.1</t>
        </is>
      </c>
      <c r="H19" s="30">
        <f>IF(W19&gt;0,X19/W19-1,"")</f>
        <v/>
      </c>
      <c r="I19" s="28" t="inlineStr"/>
      <c r="J19" s="28" t="inlineStr"/>
      <c r="K19" s="31" t="n">
        <v>650</v>
      </c>
      <c r="L19" s="28" t="n">
        <v>660</v>
      </c>
      <c r="M19" s="31" t="n">
        <v>430</v>
      </c>
      <c r="N19" s="28" t="n">
        <v>3</v>
      </c>
      <c r="O19" s="28" t="n">
        <v>70</v>
      </c>
      <c r="P19" s="31" t="n">
        <v>560</v>
      </c>
      <c r="Q19" s="28" t="n">
        <v>660</v>
      </c>
      <c r="R19" s="31" t="n">
        <v>475</v>
      </c>
      <c r="S19" s="28" t="n">
        <v>3</v>
      </c>
      <c r="T19" s="28" t="n">
        <v>70</v>
      </c>
      <c r="U19" s="31" t="n">
        <v>640</v>
      </c>
      <c r="V19" s="31">
        <f>R19*S19-P19</f>
        <v/>
      </c>
      <c r="W19" s="28" t="n">
        <v>0.97</v>
      </c>
      <c r="X19" s="28">
        <f>ROUND(V19/MAX(Q19,1),2)</f>
        <v/>
      </c>
      <c r="Y19" s="28" t="n">
        <v>0.98</v>
      </c>
      <c r="Z19" s="28">
        <f>IF(P19&gt;0,ROUND(V19/P19,2),"")</f>
        <v/>
      </c>
      <c r="AA19" s="28" t="n">
        <v>0.106</v>
      </c>
      <c r="AB19" s="28">
        <f>ROUND(T19/MAX(Q19,1),3)</f>
        <v/>
      </c>
      <c r="AC19" s="32" t="inlineStr">
        <is>
          <t>Cost 650-&gt;560 (-14%); Servings 430-&gt;475 (+10%)</t>
        </is>
      </c>
      <c r="AD19" s="32" t="inlineStr">
        <is>
          <t>Same dish as EN vanilla; your EN v1.1 numbers copied as-is</t>
        </is>
      </c>
      <c r="AE19" s="32" t="inlineStr"/>
      <c r="AF19" s="32" t="inlineStr"/>
      <c r="AG19" s="32" t="inlineStr"/>
      <c r="AH19" s="28" t="inlineStr">
        <is>
          <t>$650 · 660m · 430×$3 · 70xp</t>
        </is>
      </c>
      <c r="AI19" s="28" t="inlineStr">
        <is>
          <t>$560 · 660m · 475×$3 · 70xp</t>
        </is>
      </c>
      <c r="AJ19" s="28" t="inlineStr">
        <is>
          <t>0.97 → 1.31</t>
        </is>
      </c>
      <c r="AK19" s="28" t="inlineStr">
        <is>
          <t>頭と鼻の良くなる前菜</t>
        </is>
      </c>
    </row>
    <row r="20">
      <c r="A20" s="28" t="n">
        <v>17</v>
      </c>
      <c r="B20" s="28" t="inlineStr">
        <is>
          <t>Fetidccine</t>
        </is>
      </c>
      <c r="C20" s="28" t="n">
        <v>7</v>
      </c>
      <c r="D20" s="28" t="inlineStr">
        <is>
          <t>Raid recipe</t>
        </is>
      </c>
      <c r="E20" s="28" t="inlineStr">
        <is>
          <t>Fetidccine</t>
        </is>
      </c>
      <c r="F20" s="28" t="inlineStr">
        <is>
          <t>Yes</t>
        </is>
      </c>
      <c r="G20" s="33" t="inlineStr">
        <is>
          <t>Port EN v1.1 (no change)</t>
        </is>
      </c>
      <c r="H20" s="30">
        <f>IF(W20&gt;0,X20/W20-1,"")</f>
        <v/>
      </c>
      <c r="I20" s="28" t="inlineStr"/>
      <c r="J20" s="28" t="inlineStr"/>
      <c r="K20" s="31" t="n">
        <v>3200</v>
      </c>
      <c r="L20" s="28" t="n">
        <v>4320</v>
      </c>
      <c r="M20" s="31" t="n">
        <v>1900</v>
      </c>
      <c r="N20" s="28" t="n">
        <v>3</v>
      </c>
      <c r="O20" s="28" t="n">
        <v>220</v>
      </c>
      <c r="P20" s="31" t="n">
        <v>3200</v>
      </c>
      <c r="Q20" s="28" t="n">
        <v>4320</v>
      </c>
      <c r="R20" s="31" t="n">
        <v>1900</v>
      </c>
      <c r="S20" s="28" t="n">
        <v>3</v>
      </c>
      <c r="T20" s="28" t="n">
        <v>220</v>
      </c>
      <c r="U20" s="31" t="n">
        <v>2500</v>
      </c>
      <c r="V20" s="31">
        <f>R20*S20-P20</f>
        <v/>
      </c>
      <c r="W20" s="28" t="n">
        <v>0.58</v>
      </c>
      <c r="X20" s="28">
        <f>ROUND(V20/MAX(Q20,1),2)</f>
        <v/>
      </c>
      <c r="Y20" s="28" t="n">
        <v>0.78</v>
      </c>
      <c r="Z20" s="28">
        <f>IF(P20&gt;0,ROUND(V20/P20,2),"")</f>
        <v/>
      </c>
      <c r="AA20" s="28" t="n">
        <v>0.051</v>
      </c>
      <c r="AB20" s="28">
        <f>ROUND(T20/MAX(Q20,1),3)</f>
        <v/>
      </c>
      <c r="AC20" s="32" t="inlineStr">
        <is>
          <t>—</t>
        </is>
      </c>
      <c r="AD20" s="32" t="inlineStr">
        <is>
          <t>Same dish as EN vanilla; you left it unchanged in EN v1.1</t>
        </is>
      </c>
      <c r="AE20" s="32" t="inlineStr"/>
      <c r="AF20" s="32" t="inlineStr"/>
      <c r="AG20" s="32" t="inlineStr"/>
      <c r="AH20" s="28" t="inlineStr">
        <is>
          <t>$3,200 · 4320m · 1900×$3 · 220xp</t>
        </is>
      </c>
      <c r="AI20" s="28" t="inlineStr">
        <is>
          <t>$3,200 · 4320m · 1900×$3 · 220xp</t>
        </is>
      </c>
      <c r="AJ20" s="28" t="inlineStr">
        <is>
          <t>0.58 → 0.58</t>
        </is>
      </c>
      <c r="AK20" s="28" t="inlineStr">
        <is>
          <t>バッチーネ</t>
        </is>
      </c>
    </row>
    <row r="21">
      <c r="A21" s="28" t="n">
        <v>18</v>
      </c>
      <c r="B21" s="28" t="inlineStr">
        <is>
          <t>Mac &amp; Fleas</t>
        </is>
      </c>
      <c r="C21" s="28" t="n">
        <v>8</v>
      </c>
      <c r="D21" s="28" t="inlineStr">
        <is>
          <t>Level track</t>
        </is>
      </c>
      <c r="E21" s="28" t="inlineStr">
        <is>
          <t>Mac &amp; Fleas</t>
        </is>
      </c>
      <c r="F21" s="28" t="inlineStr">
        <is>
          <t>Yes</t>
        </is>
      </c>
      <c r="G21" s="29" t="inlineStr">
        <is>
          <t>Port EN v1.1</t>
        </is>
      </c>
      <c r="H21" s="30">
        <f>IF(W21&gt;0,X21/W21-1,"")</f>
        <v/>
      </c>
      <c r="I21" s="28" t="inlineStr"/>
      <c r="J21" s="28" t="inlineStr"/>
      <c r="K21" s="31" t="n">
        <v>380</v>
      </c>
      <c r="L21" s="28" t="n">
        <v>360</v>
      </c>
      <c r="M21" s="31" t="n">
        <v>400</v>
      </c>
      <c r="N21" s="28" t="n">
        <v>2</v>
      </c>
      <c r="O21" s="28" t="n">
        <v>55</v>
      </c>
      <c r="P21" s="31" t="n">
        <v>110</v>
      </c>
      <c r="Q21" s="28" t="n">
        <v>360</v>
      </c>
      <c r="R21" s="31" t="n">
        <v>475</v>
      </c>
      <c r="S21" s="28" t="n">
        <v>2</v>
      </c>
      <c r="T21" s="28" t="n">
        <v>55</v>
      </c>
      <c r="U21" s="31" t="n">
        <v>420</v>
      </c>
      <c r="V21" s="31">
        <f>R21*S21-P21</f>
        <v/>
      </c>
      <c r="W21" s="28" t="n">
        <v>1.17</v>
      </c>
      <c r="X21" s="28">
        <f>ROUND(V21/MAX(Q21,1),2)</f>
        <v/>
      </c>
      <c r="Y21" s="28" t="n">
        <v>1.11</v>
      </c>
      <c r="Z21" s="28">
        <f>IF(P21&gt;0,ROUND(V21/P21,2),"")</f>
        <v/>
      </c>
      <c r="AA21" s="28" t="n">
        <v>0.153</v>
      </c>
      <c r="AB21" s="28">
        <f>ROUND(T21/MAX(Q21,1),3)</f>
        <v/>
      </c>
      <c r="AC21" s="32" t="inlineStr">
        <is>
          <t>Cost 380-&gt;110 (-71%); Servings 400-&gt;475 (+19%)</t>
        </is>
      </c>
      <c r="AD21" s="32" t="inlineStr">
        <is>
          <t>Same dish as EN vanilla; your EN v1.1 numbers copied as-is</t>
        </is>
      </c>
      <c r="AE21" s="32" t="inlineStr"/>
      <c r="AF21" s="32" t="inlineStr"/>
      <c r="AG21" s="32" t="inlineStr"/>
      <c r="AH21" s="28" t="inlineStr">
        <is>
          <t>$380 · 360m · 400×$2 · 55xp</t>
        </is>
      </c>
      <c r="AI21" s="28" t="inlineStr">
        <is>
          <t>$110 · 360m · 475×$2 · 55xp</t>
        </is>
      </c>
      <c r="AJ21" s="28" t="inlineStr">
        <is>
          <t>1.17 → 2.33</t>
        </is>
      </c>
      <c r="AK21" s="28" t="inlineStr">
        <is>
          <t>ゾンビマカロニ</t>
        </is>
      </c>
    </row>
    <row r="22">
      <c r="A22" s="28" t="n">
        <v>19</v>
      </c>
      <c r="B22" s="28" t="inlineStr">
        <is>
          <t>Wormicelli</t>
        </is>
      </c>
      <c r="C22" s="28" t="n">
        <v>8</v>
      </c>
      <c r="D22" s="28" t="inlineStr">
        <is>
          <t>Raid recipe</t>
        </is>
      </c>
      <c r="E22" s="28" t="inlineStr">
        <is>
          <t>Wormicelli</t>
        </is>
      </c>
      <c r="F22" s="28" t="inlineStr">
        <is>
          <t>Yes</t>
        </is>
      </c>
      <c r="G22" s="29" t="inlineStr">
        <is>
          <t>Port EN v1.1</t>
        </is>
      </c>
      <c r="H22" s="30">
        <f>IF(W22&gt;0,X22/W22-1,"")</f>
        <v/>
      </c>
      <c r="I22" s="28" t="inlineStr"/>
      <c r="J22" s="28" t="inlineStr"/>
      <c r="K22" s="31" t="n">
        <v>1800</v>
      </c>
      <c r="L22" s="28" t="n">
        <v>1200</v>
      </c>
      <c r="M22" s="31" t="n">
        <v>900</v>
      </c>
      <c r="N22" s="28" t="n">
        <v>3</v>
      </c>
      <c r="O22" s="28" t="n">
        <v>90</v>
      </c>
      <c r="P22" s="31" t="n">
        <v>900</v>
      </c>
      <c r="Q22" s="28" t="n">
        <v>1200</v>
      </c>
      <c r="R22" s="31" t="n">
        <v>600</v>
      </c>
      <c r="S22" s="28" t="n">
        <v>3</v>
      </c>
      <c r="T22" s="28" t="n">
        <v>90</v>
      </c>
      <c r="U22" s="31" t="n">
        <v>900</v>
      </c>
      <c r="V22" s="31">
        <f>R22*S22-P22</f>
        <v/>
      </c>
      <c r="W22" s="28" t="n">
        <v>0.75</v>
      </c>
      <c r="X22" s="28">
        <f>ROUND(V22/MAX(Q22,1),2)</f>
        <v/>
      </c>
      <c r="Y22" s="28" t="n">
        <v>0.5</v>
      </c>
      <c r="Z22" s="28">
        <f>IF(P22&gt;0,ROUND(V22/P22,2),"")</f>
        <v/>
      </c>
      <c r="AA22" s="28" t="n">
        <v>0.075</v>
      </c>
      <c r="AB22" s="28">
        <f>ROUND(T22/MAX(Q22,1),3)</f>
        <v/>
      </c>
      <c r="AC22" s="32" t="inlineStr">
        <is>
          <t>Cost 1,800-&gt;900 (-50%); Servings 900-&gt;600 (-33%)</t>
        </is>
      </c>
      <c r="AD22" s="32" t="inlineStr">
        <is>
          <t>Same dish as EN vanilla; your EN v1.1 numbers copied as-is</t>
        </is>
      </c>
      <c r="AE22" s="32" t="inlineStr"/>
      <c r="AF22" s="32" t="inlineStr"/>
      <c r="AG22" s="32" t="inlineStr"/>
      <c r="AH22" s="28" t="inlineStr">
        <is>
          <t>$1,800 · 1200m · 900×$3 · 90xp</t>
        </is>
      </c>
      <c r="AI22" s="28" t="inlineStr">
        <is>
          <t>$900 · 1200m · 600×$3 · 90xp</t>
        </is>
      </c>
      <c r="AJ22" s="28" t="inlineStr">
        <is>
          <t>0.75 → 0.75</t>
        </is>
      </c>
      <c r="AK22" s="28" t="inlineStr">
        <is>
          <t>ミズミズしいミミズ</t>
        </is>
      </c>
    </row>
    <row r="23">
      <c r="A23" s="28" t="n">
        <v>20</v>
      </c>
      <c r="B23" s="28" t="inlineStr">
        <is>
          <t>Gnasty Gnocchi</t>
        </is>
      </c>
      <c r="C23" s="28" t="n">
        <v>9</v>
      </c>
      <c r="D23" s="28" t="inlineStr">
        <is>
          <t>Level track</t>
        </is>
      </c>
      <c r="E23" s="28" t="inlineStr">
        <is>
          <t>Gnasty Gnocchi</t>
        </is>
      </c>
      <c r="F23" s="28" t="inlineStr">
        <is>
          <t>Yes</t>
        </is>
      </c>
      <c r="G23" s="29" t="inlineStr">
        <is>
          <t>Port EN v1.1</t>
        </is>
      </c>
      <c r="H23" s="30">
        <f>IF(W23&gt;0,X23/W23-1,"")</f>
        <v/>
      </c>
      <c r="I23" s="28" t="inlineStr"/>
      <c r="J23" s="28" t="inlineStr"/>
      <c r="K23" s="31" t="n">
        <v>475</v>
      </c>
      <c r="L23" s="28" t="n">
        <v>840</v>
      </c>
      <c r="M23" s="31" t="n">
        <v>375</v>
      </c>
      <c r="N23" s="28" t="n">
        <v>3</v>
      </c>
      <c r="O23" s="28" t="n">
        <v>80</v>
      </c>
      <c r="P23" s="31" t="n">
        <v>475</v>
      </c>
      <c r="Q23" s="28" t="n">
        <v>840</v>
      </c>
      <c r="R23" s="31" t="n">
        <v>425</v>
      </c>
      <c r="S23" s="28" t="n">
        <v>3</v>
      </c>
      <c r="T23" s="28" t="n">
        <v>80</v>
      </c>
      <c r="U23" s="31" t="n">
        <v>650</v>
      </c>
      <c r="V23" s="31">
        <f>R23*S23-P23</f>
        <v/>
      </c>
      <c r="W23" s="28" t="n">
        <v>0.77</v>
      </c>
      <c r="X23" s="28">
        <f>ROUND(V23/MAX(Q23,1),2)</f>
        <v/>
      </c>
      <c r="Y23" s="28" t="n">
        <v>1.37</v>
      </c>
      <c r="Z23" s="28">
        <f>IF(P23&gt;0,ROUND(V23/P23,2),"")</f>
        <v/>
      </c>
      <c r="AA23" s="28" t="n">
        <v>0.095</v>
      </c>
      <c r="AB23" s="28">
        <f>ROUND(T23/MAX(Q23,1),3)</f>
        <v/>
      </c>
      <c r="AC23" s="32" t="inlineStr">
        <is>
          <t>Servings 375-&gt;425 (+13%)</t>
        </is>
      </c>
      <c r="AD23" s="32" t="inlineStr">
        <is>
          <t>Same dish as EN vanilla; your EN v1.1 numbers copied as-is</t>
        </is>
      </c>
      <c r="AE23" s="32" t="inlineStr"/>
      <c r="AF23" s="32" t="inlineStr"/>
      <c r="AG23" s="32" t="inlineStr"/>
      <c r="AH23" s="28" t="inlineStr">
        <is>
          <t>$475 · 840m · 375×$3 · 80xp</t>
        </is>
      </c>
      <c r="AI23" s="28" t="inlineStr">
        <is>
          <t>$475 · 840m · 425×$3 · 80xp</t>
        </is>
      </c>
      <c r="AJ23" s="28" t="inlineStr">
        <is>
          <t>0.77 → 0.95</t>
        </is>
      </c>
      <c r="AK23" s="28" t="inlineStr">
        <is>
          <t>ニョキニョキニョッキ</t>
        </is>
      </c>
    </row>
    <row r="24">
      <c r="A24" s="28" t="n">
        <v>21</v>
      </c>
      <c r="B24" s="28" t="inlineStr">
        <is>
          <t>Tiramiseeeww</t>
        </is>
      </c>
      <c r="C24" s="28" t="n">
        <v>9</v>
      </c>
      <c r="D24" s="28" t="inlineStr">
        <is>
          <t>Raid recipe</t>
        </is>
      </c>
      <c r="E24" s="28" t="inlineStr">
        <is>
          <t>Tiramiseeeww</t>
        </is>
      </c>
      <c r="F24" s="28" t="inlineStr">
        <is>
          <t>Yes</t>
        </is>
      </c>
      <c r="G24" s="33" t="inlineStr">
        <is>
          <t>Port EN v1.1 (no change)</t>
        </is>
      </c>
      <c r="H24" s="30">
        <f>IF(W24&gt;0,X24/W24-1,"")</f>
        <v/>
      </c>
      <c r="I24" s="28" t="inlineStr"/>
      <c r="J24" s="28" t="inlineStr"/>
      <c r="K24" s="31" t="n">
        <v>250</v>
      </c>
      <c r="L24" s="28" t="n">
        <v>90</v>
      </c>
      <c r="M24" s="31" t="n">
        <v>120</v>
      </c>
      <c r="N24" s="28" t="n">
        <v>3</v>
      </c>
      <c r="O24" s="28" t="n">
        <v>30</v>
      </c>
      <c r="P24" s="31" t="n">
        <v>250</v>
      </c>
      <c r="Q24" s="28" t="n">
        <v>90</v>
      </c>
      <c r="R24" s="31" t="n">
        <v>120</v>
      </c>
      <c r="S24" s="28" t="n">
        <v>3</v>
      </c>
      <c r="T24" s="28" t="n">
        <v>30</v>
      </c>
      <c r="U24" s="31" t="n">
        <v>110</v>
      </c>
      <c r="V24" s="31">
        <f>R24*S24-P24</f>
        <v/>
      </c>
      <c r="W24" s="28" t="n">
        <v>1.22</v>
      </c>
      <c r="X24" s="28">
        <f>ROUND(V24/MAX(Q24,1),2)</f>
        <v/>
      </c>
      <c r="Y24" s="28" t="n">
        <v>0.44</v>
      </c>
      <c r="Z24" s="28">
        <f>IF(P24&gt;0,ROUND(V24/P24,2),"")</f>
        <v/>
      </c>
      <c r="AA24" s="28" t="n">
        <v>0.333</v>
      </c>
      <c r="AB24" s="28">
        <f>ROUND(T24/MAX(Q24,1),3)</f>
        <v/>
      </c>
      <c r="AC24" s="32" t="inlineStr">
        <is>
          <t>—</t>
        </is>
      </c>
      <c r="AD24" s="32" t="inlineStr">
        <is>
          <t>Same dish as EN vanilla; you left it unchanged in EN v1.1</t>
        </is>
      </c>
      <c r="AE24" s="32" t="inlineStr"/>
      <c r="AF24" s="32" t="inlineStr"/>
      <c r="AG24" s="32" t="inlineStr"/>
      <c r="AH24" s="28" t="inlineStr">
        <is>
          <t>$250 · 90m · 120×$3 · 30xp</t>
        </is>
      </c>
      <c r="AI24" s="28" t="inlineStr">
        <is>
          <t>$250 · 90m · 120×$3 · 30xp</t>
        </is>
      </c>
      <c r="AJ24" s="28" t="inlineStr">
        <is>
          <t>1.22 → 1.22</t>
        </is>
      </c>
      <c r="AK24" s="28" t="inlineStr">
        <is>
          <t>匂い立つティラミス</t>
        </is>
      </c>
    </row>
    <row r="25">
      <c r="A25" s="28" t="n">
        <v>22</v>
      </c>
      <c r="B25" s="28" t="inlineStr">
        <is>
          <t>Flied Lice</t>
        </is>
      </c>
      <c r="C25" s="28" t="n">
        <v>9</v>
      </c>
      <c r="D25" s="28" t="inlineStr">
        <is>
          <t>Raid recipe</t>
        </is>
      </c>
      <c r="E25" s="28" t="inlineStr">
        <is>
          <t>Flied Lice</t>
        </is>
      </c>
      <c r="F25" s="28" t="inlineStr">
        <is>
          <t>Yes</t>
        </is>
      </c>
      <c r="G25" s="29" t="inlineStr">
        <is>
          <t>Port EN v1.1</t>
        </is>
      </c>
      <c r="H25" s="30">
        <f>IF(W25&gt;0,X25/W25-1,"")</f>
        <v/>
      </c>
      <c r="I25" s="28" t="inlineStr"/>
      <c r="J25" s="28" t="inlineStr"/>
      <c r="K25" s="31" t="n">
        <v>200</v>
      </c>
      <c r="L25" s="28" t="n">
        <v>150</v>
      </c>
      <c r="M25" s="31" t="n">
        <v>185</v>
      </c>
      <c r="N25" s="28" t="n">
        <v>2</v>
      </c>
      <c r="O25" s="28" t="n">
        <v>40</v>
      </c>
      <c r="P25" s="31" t="n">
        <v>60</v>
      </c>
      <c r="Q25" s="28" t="n">
        <v>150</v>
      </c>
      <c r="R25" s="31" t="n">
        <v>210</v>
      </c>
      <c r="S25" s="28" t="n">
        <v>2</v>
      </c>
      <c r="T25" s="28" t="n">
        <v>40</v>
      </c>
      <c r="U25" s="31" t="n">
        <v>170</v>
      </c>
      <c r="V25" s="31">
        <f>R25*S25-P25</f>
        <v/>
      </c>
      <c r="W25" s="28" t="n">
        <v>1.13</v>
      </c>
      <c r="X25" s="28">
        <f>ROUND(V25/MAX(Q25,1),2)</f>
        <v/>
      </c>
      <c r="Y25" s="28" t="n">
        <v>0.85</v>
      </c>
      <c r="Z25" s="28">
        <f>IF(P25&gt;0,ROUND(V25/P25,2),"")</f>
        <v/>
      </c>
      <c r="AA25" s="28" t="n">
        <v>0.267</v>
      </c>
      <c r="AB25" s="28">
        <f>ROUND(T25/MAX(Q25,1),3)</f>
        <v/>
      </c>
      <c r="AC25" s="32" t="inlineStr">
        <is>
          <t>Cost 200-&gt;60 (-70%); Servings 185-&gt;210 (+14%)</t>
        </is>
      </c>
      <c r="AD25" s="32" t="inlineStr">
        <is>
          <t>Same dish as EN vanilla; your EN v1.1 numbers copied as-is</t>
        </is>
      </c>
      <c r="AE25" s="32" t="inlineStr"/>
      <c r="AF25" s="32" t="inlineStr"/>
      <c r="AG25" s="32" t="inlineStr"/>
      <c r="AH25" s="28" t="inlineStr">
        <is>
          <t>$200 · 150m · 185×$2 · 40xp</t>
        </is>
      </c>
      <c r="AI25" s="28" t="inlineStr">
        <is>
          <t>$60 · 150m · 210×$2 · 40xp</t>
        </is>
      </c>
      <c r="AJ25" s="28" t="inlineStr">
        <is>
          <t>1.13 → 2.40</t>
        </is>
      </c>
      <c r="AK25" s="28" t="inlineStr">
        <is>
          <t>ゾンビチャーハン</t>
        </is>
      </c>
    </row>
    <row r="26">
      <c r="A26" s="28" t="n">
        <v>23</v>
      </c>
      <c r="B26" s="28" t="inlineStr">
        <is>
          <t>Wonton Goop</t>
        </is>
      </c>
      <c r="C26" s="28" t="n">
        <v>10</v>
      </c>
      <c r="D26" s="28" t="inlineStr">
        <is>
          <t>Level track</t>
        </is>
      </c>
      <c r="E26" s="28" t="inlineStr">
        <is>
          <t>Wonton Goop</t>
        </is>
      </c>
      <c r="F26" s="28" t="inlineStr">
        <is>
          <t>Yes</t>
        </is>
      </c>
      <c r="G26" s="29" t="inlineStr">
        <is>
          <t>Port EN v1.1</t>
        </is>
      </c>
      <c r="H26" s="30">
        <f>IF(W26&gt;0,X26/W26-1,"")</f>
        <v/>
      </c>
      <c r="I26" s="28" t="inlineStr"/>
      <c r="J26" s="28" t="inlineStr"/>
      <c r="K26" s="31" t="n">
        <v>320</v>
      </c>
      <c r="L26" s="28" t="n">
        <v>20</v>
      </c>
      <c r="M26" s="31" t="n">
        <v>115</v>
      </c>
      <c r="N26" s="28" t="n">
        <v>3</v>
      </c>
      <c r="O26" s="28" t="n">
        <v>9</v>
      </c>
      <c r="P26" s="31" t="n">
        <v>250</v>
      </c>
      <c r="Q26" s="28" t="n">
        <v>20</v>
      </c>
      <c r="R26" s="31" t="n">
        <v>120</v>
      </c>
      <c r="S26" s="28" t="n">
        <v>3</v>
      </c>
      <c r="T26" s="28" t="n">
        <v>9</v>
      </c>
      <c r="U26" s="31" t="n">
        <v>25</v>
      </c>
      <c r="V26" s="31">
        <f>R26*S26-P26</f>
        <v/>
      </c>
      <c r="W26" s="28" t="n">
        <v>1.25</v>
      </c>
      <c r="X26" s="28">
        <f>ROUND(V26/MAX(Q26,1),2)</f>
        <v/>
      </c>
      <c r="Y26" s="28" t="n">
        <v>0.08</v>
      </c>
      <c r="Z26" s="28">
        <f>IF(P26&gt;0,ROUND(V26/P26,2),"")</f>
        <v/>
      </c>
      <c r="AA26" s="28" t="n">
        <v>0.45</v>
      </c>
      <c r="AB26" s="28">
        <f>ROUND(T26/MAX(Q26,1),3)</f>
        <v/>
      </c>
      <c r="AC26" s="32" t="inlineStr">
        <is>
          <t>Cost 320-&gt;250 (-22%); Servings 115-&gt;120 (+4%)</t>
        </is>
      </c>
      <c r="AD26" s="32" t="inlineStr">
        <is>
          <t>Same dish as EN vanilla; your EN v1.1 numbers copied as-is</t>
        </is>
      </c>
      <c r="AE26" s="32" t="inlineStr"/>
      <c r="AF26" s="32" t="inlineStr"/>
      <c r="AG26" s="32" t="inlineStr"/>
      <c r="AH26" s="28" t="inlineStr">
        <is>
          <t>$320 · 20m · 115×$3 · 9xp</t>
        </is>
      </c>
      <c r="AI26" s="28" t="inlineStr">
        <is>
          <t>$250 · 20m · 120×$3 · 9xp</t>
        </is>
      </c>
      <c r="AJ26" s="28" t="inlineStr">
        <is>
          <t>1.25 → 5.50</t>
        </is>
      </c>
      <c r="AK26" s="28" t="inlineStr">
        <is>
          <t>血染めのワンタン</t>
        </is>
      </c>
    </row>
    <row r="27">
      <c r="A27" s="28" t="n">
        <v>24</v>
      </c>
      <c r="B27" s="28" t="inlineStr">
        <is>
          <t>Curry Slurry</t>
        </is>
      </c>
      <c r="C27" s="28" t="n">
        <v>10</v>
      </c>
      <c r="D27" s="28" t="inlineStr">
        <is>
          <t>Raid recipe</t>
        </is>
      </c>
      <c r="E27" s="28" t="inlineStr">
        <is>
          <t>Curry Slurry</t>
        </is>
      </c>
      <c r="F27" s="28" t="inlineStr">
        <is>
          <t>Yes</t>
        </is>
      </c>
      <c r="G27" s="33" t="inlineStr">
        <is>
          <t>Port EN v1.1 (no change)</t>
        </is>
      </c>
      <c r="H27" s="30">
        <f>IF(W27&gt;0,X27/W27-1,"")</f>
        <v/>
      </c>
      <c r="I27" s="28" t="inlineStr"/>
      <c r="J27" s="28" t="inlineStr"/>
      <c r="K27" s="31" t="n">
        <v>1100</v>
      </c>
      <c r="L27" s="28" t="n">
        <v>1080</v>
      </c>
      <c r="M27" s="31" t="n">
        <v>950</v>
      </c>
      <c r="N27" s="28" t="n">
        <v>2</v>
      </c>
      <c r="O27" s="28" t="n">
        <v>110</v>
      </c>
      <c r="P27" s="31" t="n">
        <v>1100</v>
      </c>
      <c r="Q27" s="28" t="n">
        <v>1080</v>
      </c>
      <c r="R27" s="31" t="n">
        <v>950</v>
      </c>
      <c r="S27" s="28" t="n">
        <v>2</v>
      </c>
      <c r="T27" s="28" t="n">
        <v>110</v>
      </c>
      <c r="U27" s="31" t="n">
        <v>800</v>
      </c>
      <c r="V27" s="31">
        <f>R27*S27-P27</f>
        <v/>
      </c>
      <c r="W27" s="28" t="n">
        <v>0.74</v>
      </c>
      <c r="X27" s="28">
        <f>ROUND(V27/MAX(Q27,1),2)</f>
        <v/>
      </c>
      <c r="Y27" s="28" t="n">
        <v>0.73</v>
      </c>
      <c r="Z27" s="28">
        <f>IF(P27&gt;0,ROUND(V27/P27,2),"")</f>
        <v/>
      </c>
      <c r="AA27" s="28" t="n">
        <v>0.102</v>
      </c>
      <c r="AB27" s="28">
        <f>ROUND(T27/MAX(Q27,1),3)</f>
        <v/>
      </c>
      <c r="AC27" s="32" t="inlineStr">
        <is>
          <t>—</t>
        </is>
      </c>
      <c r="AD27" s="32" t="inlineStr">
        <is>
          <t>Same dish as EN vanilla; you left it unchanged in EN v1.1</t>
        </is>
      </c>
      <c r="AE27" s="32" t="inlineStr"/>
      <c r="AF27" s="32" t="inlineStr"/>
      <c r="AG27" s="32" t="inlineStr"/>
      <c r="AH27" s="28" t="inlineStr">
        <is>
          <t>$1,100 · 1080m · 950×$2 · 110xp</t>
        </is>
      </c>
      <c r="AI27" s="28" t="inlineStr">
        <is>
          <t>$1,100 · 1080m · 950×$2 · 110xp</t>
        </is>
      </c>
      <c r="AJ27" s="28" t="inlineStr">
        <is>
          <t>0.74 → 0.74</t>
        </is>
      </c>
      <c r="AK27" s="28" t="inlineStr">
        <is>
          <t>ゾンビカレー</t>
        </is>
      </c>
    </row>
    <row r="28">
      <c r="A28" s="28" t="n">
        <v>25</v>
      </c>
      <c r="B28" s="28" t="inlineStr">
        <is>
          <t>Bul-goo-gi</t>
        </is>
      </c>
      <c r="C28" s="28" t="n">
        <v>10</v>
      </c>
      <c r="D28" s="28" t="inlineStr">
        <is>
          <t>Raid recipe</t>
        </is>
      </c>
      <c r="E28" s="28" t="inlineStr">
        <is>
          <t>Bul-goo-gi</t>
        </is>
      </c>
      <c r="F28" s="28" t="inlineStr">
        <is>
          <t>Yes</t>
        </is>
      </c>
      <c r="G28" s="33" t="inlineStr">
        <is>
          <t>Port EN v1.1 (no change)</t>
        </is>
      </c>
      <c r="H28" s="30">
        <f>IF(W28&gt;0,X28/W28-1,"")</f>
        <v/>
      </c>
      <c r="I28" s="28" t="inlineStr"/>
      <c r="J28" s="28" t="inlineStr"/>
      <c r="K28" s="31" t="n">
        <v>3000</v>
      </c>
      <c r="L28" s="28" t="n">
        <v>1920</v>
      </c>
      <c r="M28" s="31" t="n">
        <v>1100</v>
      </c>
      <c r="N28" s="28" t="n">
        <v>4</v>
      </c>
      <c r="O28" s="28" t="n">
        <v>150</v>
      </c>
      <c r="P28" s="31" t="n">
        <v>3000</v>
      </c>
      <c r="Q28" s="28" t="n">
        <v>1920</v>
      </c>
      <c r="R28" s="31" t="n">
        <v>1100</v>
      </c>
      <c r="S28" s="28" t="n">
        <v>4</v>
      </c>
      <c r="T28" s="28" t="n">
        <v>150</v>
      </c>
      <c r="U28" s="31" t="n">
        <v>1400</v>
      </c>
      <c r="V28" s="31">
        <f>R28*S28-P28</f>
        <v/>
      </c>
      <c r="W28" s="28" t="n">
        <v>0.73</v>
      </c>
      <c r="X28" s="28">
        <f>ROUND(V28/MAX(Q28,1),2)</f>
        <v/>
      </c>
      <c r="Y28" s="28" t="n">
        <v>0.47</v>
      </c>
      <c r="Z28" s="28">
        <f>IF(P28&gt;0,ROUND(V28/P28,2),"")</f>
        <v/>
      </c>
      <c r="AA28" s="28" t="n">
        <v>0.078</v>
      </c>
      <c r="AB28" s="28">
        <f>ROUND(T28/MAX(Q28,1),3)</f>
        <v/>
      </c>
      <c r="AC28" s="32" t="inlineStr">
        <is>
          <t>—</t>
        </is>
      </c>
      <c r="AD28" s="32" t="inlineStr">
        <is>
          <t>Same dish as EN vanilla; you left it unchanged in EN v1.1</t>
        </is>
      </c>
      <c r="AE28" s="32" t="inlineStr"/>
      <c r="AF28" s="32" t="inlineStr"/>
      <c r="AG28" s="32" t="inlineStr"/>
      <c r="AH28" s="28" t="inlineStr">
        <is>
          <t>$3,000 · 1920m · 1100×$4 · 150xp</t>
        </is>
      </c>
      <c r="AI28" s="28" t="inlineStr">
        <is>
          <t>$3,000 · 1920m · 1100×$4 · 150xp</t>
        </is>
      </c>
      <c r="AJ28" s="28" t="inlineStr">
        <is>
          <t>0.73 → 0.73</t>
        </is>
      </c>
      <c r="AK28" s="28" t="inlineStr">
        <is>
          <t>ゾンビプルコギ</t>
        </is>
      </c>
    </row>
    <row r="29">
      <c r="A29" s="28" t="n">
        <v>26</v>
      </c>
      <c r="B29" s="28" t="inlineStr">
        <is>
          <t>Misfortune Cookies</t>
        </is>
      </c>
      <c r="C29" s="28" t="n">
        <v>11</v>
      </c>
      <c r="D29" s="28" t="inlineStr">
        <is>
          <t>Level track</t>
        </is>
      </c>
      <c r="E29" s="28" t="inlineStr">
        <is>
          <t>Misfortune Cookies</t>
        </is>
      </c>
      <c r="F29" s="28" t="inlineStr">
        <is>
          <t>Yes</t>
        </is>
      </c>
      <c r="G29" s="29" t="inlineStr">
        <is>
          <t>Port EN v1.1</t>
        </is>
      </c>
      <c r="H29" s="30">
        <f>IF(W29&gt;0,X29/W29-1,"")</f>
        <v/>
      </c>
      <c r="I29" s="28" t="inlineStr"/>
      <c r="J29" s="28" t="inlineStr"/>
      <c r="K29" s="31" t="n">
        <v>100</v>
      </c>
      <c r="L29" s="28" t="n">
        <v>15</v>
      </c>
      <c r="M29" s="31" t="n">
        <v>125</v>
      </c>
      <c r="N29" s="28" t="n">
        <v>1</v>
      </c>
      <c r="O29" s="28" t="n">
        <v>7</v>
      </c>
      <c r="P29" s="31" t="n">
        <v>30</v>
      </c>
      <c r="Q29" s="28" t="n">
        <v>15</v>
      </c>
      <c r="R29" s="31" t="n">
        <v>125</v>
      </c>
      <c r="S29" s="28" t="n">
        <v>1</v>
      </c>
      <c r="T29" s="28" t="n">
        <v>7</v>
      </c>
      <c r="U29" s="31" t="n">
        <v>25</v>
      </c>
      <c r="V29" s="31">
        <f>R29*S29-P29</f>
        <v/>
      </c>
      <c r="W29" s="28" t="n">
        <v>1.67</v>
      </c>
      <c r="X29" s="28">
        <f>ROUND(V29/MAX(Q29,1),2)</f>
        <v/>
      </c>
      <c r="Y29" s="28" t="n">
        <v>0.25</v>
      </c>
      <c r="Z29" s="28">
        <f>IF(P29&gt;0,ROUND(V29/P29,2),"")</f>
        <v/>
      </c>
      <c r="AA29" s="28" t="n">
        <v>0.467</v>
      </c>
      <c r="AB29" s="28">
        <f>ROUND(T29/MAX(Q29,1),3)</f>
        <v/>
      </c>
      <c r="AC29" s="32" t="inlineStr">
        <is>
          <t>Cost 100-&gt;30 (-70%)</t>
        </is>
      </c>
      <c r="AD29" s="32" t="inlineStr">
        <is>
          <t>Same dish as EN vanilla; your EN v1.1 numbers copied as-is</t>
        </is>
      </c>
      <c r="AE29" s="32" t="inlineStr"/>
      <c r="AF29" s="32" t="inlineStr"/>
      <c r="AG29" s="32" t="inlineStr"/>
      <c r="AH29" s="28" t="inlineStr">
        <is>
          <t>$100 · 15m · 125×$1 · 7xp</t>
        </is>
      </c>
      <c r="AI29" s="28" t="inlineStr">
        <is>
          <t>$30 · 15m · 125×$1 · 7xp</t>
        </is>
      </c>
      <c r="AJ29" s="28" t="inlineStr">
        <is>
          <t>1.67 → 6.33</t>
        </is>
      </c>
      <c r="AK29" s="28" t="inlineStr">
        <is>
          <t>占いクッキー大凶入り</t>
        </is>
      </c>
    </row>
    <row r="30">
      <c r="A30" s="28" t="n">
        <v>27</v>
      </c>
      <c r="B30" s="28" t="inlineStr">
        <is>
          <t>Faux Noodles</t>
        </is>
      </c>
      <c r="C30" s="28" t="n">
        <v>11</v>
      </c>
      <c r="D30" s="28" t="inlineStr">
        <is>
          <t>Raid recipe</t>
        </is>
      </c>
      <c r="E30" s="28" t="inlineStr">
        <is>
          <t>Faux Noodles</t>
        </is>
      </c>
      <c r="F30" s="28" t="inlineStr">
        <is>
          <t>Yes</t>
        </is>
      </c>
      <c r="G30" s="29" t="inlineStr">
        <is>
          <t>Port EN v1.1</t>
        </is>
      </c>
      <c r="H30" s="30">
        <f>IF(W30&gt;0,X30/W30-1,"")</f>
        <v/>
      </c>
      <c r="I30" s="28" t="inlineStr"/>
      <c r="J30" s="28" t="inlineStr"/>
      <c r="K30" s="31" t="n">
        <v>475</v>
      </c>
      <c r="L30" s="28" t="n">
        <v>420</v>
      </c>
      <c r="M30" s="31" t="n">
        <v>300</v>
      </c>
      <c r="N30" s="28" t="n">
        <v>3</v>
      </c>
      <c r="O30" s="28" t="n">
        <v>70</v>
      </c>
      <c r="P30" s="31" t="n">
        <v>170</v>
      </c>
      <c r="Q30" s="28" t="n">
        <v>420</v>
      </c>
      <c r="R30" s="31" t="n">
        <v>350</v>
      </c>
      <c r="S30" s="28" t="n">
        <v>3</v>
      </c>
      <c r="T30" s="28" t="n">
        <v>70</v>
      </c>
      <c r="U30" s="31" t="n">
        <v>425</v>
      </c>
      <c r="V30" s="31">
        <f>R30*S30-P30</f>
        <v/>
      </c>
      <c r="W30" s="28" t="n">
        <v>1.01</v>
      </c>
      <c r="X30" s="28">
        <f>ROUND(V30/MAX(Q30,1),2)</f>
        <v/>
      </c>
      <c r="Y30" s="28" t="n">
        <v>0.89</v>
      </c>
      <c r="Z30" s="28">
        <f>IF(P30&gt;0,ROUND(V30/P30,2),"")</f>
        <v/>
      </c>
      <c r="AA30" s="28" t="n">
        <v>0.167</v>
      </c>
      <c r="AB30" s="28">
        <f>ROUND(T30/MAX(Q30,1),3)</f>
        <v/>
      </c>
      <c r="AC30" s="32" t="inlineStr">
        <is>
          <t>Cost 475-&gt;170 (-64%); Servings 300-&gt;350 (+17%)</t>
        </is>
      </c>
      <c r="AD30" s="32" t="inlineStr">
        <is>
          <t>Same dish as EN vanilla; your EN v1.1 numbers copied as-is</t>
        </is>
      </c>
      <c r="AE30" s="32" t="inlineStr"/>
      <c r="AF30" s="32" t="inlineStr"/>
      <c r="AG30" s="32" t="inlineStr"/>
      <c r="AH30" s="28" t="inlineStr">
        <is>
          <t>$475 · 420m · 300×$3 · 70xp</t>
        </is>
      </c>
      <c r="AI30" s="28" t="inlineStr">
        <is>
          <t>$170 · 420m · 350×$3 · 70xp</t>
        </is>
      </c>
      <c r="AJ30" s="28" t="inlineStr">
        <is>
          <t>1.01 → 2.10</t>
        </is>
      </c>
      <c r="AK30" s="28" t="inlineStr">
        <is>
          <t>食べかけのヌードル</t>
        </is>
      </c>
    </row>
    <row r="31">
      <c r="A31" s="28" t="n">
        <v>28</v>
      </c>
      <c r="B31" s="28" t="inlineStr">
        <is>
          <t>Ground Chuck</t>
        </is>
      </c>
      <c r="C31" s="28" t="n">
        <v>12</v>
      </c>
      <c r="D31" s="28" t="inlineStr">
        <is>
          <t>Level track</t>
        </is>
      </c>
      <c r="E31" s="28" t="inlineStr">
        <is>
          <t>Ground Chuck</t>
        </is>
      </c>
      <c r="F31" s="28" t="inlineStr">
        <is>
          <t>Yes</t>
        </is>
      </c>
      <c r="G31" s="29" t="inlineStr">
        <is>
          <t>Port EN v1.1</t>
        </is>
      </c>
      <c r="H31" s="30">
        <f>IF(W31&gt;0,X31/W31-1,"")</f>
        <v/>
      </c>
      <c r="I31" s="28" t="inlineStr"/>
      <c r="J31" s="28" t="inlineStr"/>
      <c r="K31" s="31" t="n">
        <v>440</v>
      </c>
      <c r="L31" s="28" t="n">
        <v>120</v>
      </c>
      <c r="M31" s="31" t="n">
        <v>200</v>
      </c>
      <c r="N31" s="28" t="n">
        <v>3</v>
      </c>
      <c r="O31" s="28" t="n">
        <v>40</v>
      </c>
      <c r="P31" s="31" t="n">
        <v>440</v>
      </c>
      <c r="Q31" s="28" t="n">
        <v>120</v>
      </c>
      <c r="R31" s="31" t="n">
        <v>210</v>
      </c>
      <c r="S31" s="28" t="n">
        <v>3</v>
      </c>
      <c r="T31" s="28" t="n">
        <v>40</v>
      </c>
      <c r="U31" s="31" t="n">
        <v>160</v>
      </c>
      <c r="V31" s="31">
        <f>R31*S31-P31</f>
        <v/>
      </c>
      <c r="W31" s="28" t="n">
        <v>1.33</v>
      </c>
      <c r="X31" s="28">
        <f>ROUND(V31/MAX(Q31,1),2)</f>
        <v/>
      </c>
      <c r="Y31" s="28" t="n">
        <v>0.36</v>
      </c>
      <c r="Z31" s="28">
        <f>IF(P31&gt;0,ROUND(V31/P31,2),"")</f>
        <v/>
      </c>
      <c r="AA31" s="28" t="n">
        <v>0.333</v>
      </c>
      <c r="AB31" s="28">
        <f>ROUND(T31/MAX(Q31,1),3)</f>
        <v/>
      </c>
      <c r="AC31" s="32" t="inlineStr">
        <is>
          <t>Servings 200-&gt;210 (+5%)</t>
        </is>
      </c>
      <c r="AD31" s="32" t="inlineStr">
        <is>
          <t>Same dish as EN vanilla; your EN v1.1 numbers copied as-is</t>
        </is>
      </c>
      <c r="AE31" s="32" t="inlineStr"/>
      <c r="AF31" s="32" t="inlineStr"/>
      <c r="AG31" s="32" t="inlineStr"/>
      <c r="AH31" s="28" t="inlineStr">
        <is>
          <t>$440 · 120m · 200×$3 · 40xp</t>
        </is>
      </c>
      <c r="AI31" s="28" t="inlineStr">
        <is>
          <t>$440 · 120m · 210×$3 · 40xp</t>
        </is>
      </c>
      <c r="AJ31" s="28" t="inlineStr">
        <is>
          <t>1.33 → 1.58</t>
        </is>
      </c>
      <c r="AK31" s="28" t="inlineStr">
        <is>
          <t>ゾンビユッケ</t>
        </is>
      </c>
    </row>
    <row r="32">
      <c r="A32" s="28" t="n">
        <v>29</v>
      </c>
      <c r="B32" s="28" t="inlineStr">
        <is>
          <t>Burro-itos</t>
        </is>
      </c>
      <c r="C32" s="28" t="n">
        <v>12</v>
      </c>
      <c r="D32" s="28" t="inlineStr">
        <is>
          <t>Raid recipe</t>
        </is>
      </c>
      <c r="E32" s="28" t="inlineStr">
        <is>
          <t>Burro-itos</t>
        </is>
      </c>
      <c r="F32" s="28" t="inlineStr">
        <is>
          <t>Yes</t>
        </is>
      </c>
      <c r="G32" s="29" t="inlineStr">
        <is>
          <t>Port EN v1.1</t>
        </is>
      </c>
      <c r="H32" s="30">
        <f>IF(W32&gt;0,X32/W32-1,"")</f>
        <v/>
      </c>
      <c r="I32" s="28" t="inlineStr"/>
      <c r="J32" s="28" t="inlineStr"/>
      <c r="K32" s="31" t="n">
        <v>650</v>
      </c>
      <c r="L32" s="28" t="n">
        <v>720</v>
      </c>
      <c r="M32" s="31" t="n">
        <v>650</v>
      </c>
      <c r="N32" s="28" t="n">
        <v>2</v>
      </c>
      <c r="O32" s="28" t="n">
        <v>90</v>
      </c>
      <c r="P32" s="31" t="n">
        <v>650</v>
      </c>
      <c r="Q32" s="28" t="n">
        <v>720</v>
      </c>
      <c r="R32" s="31" t="n">
        <v>700</v>
      </c>
      <c r="S32" s="28" t="n">
        <v>2</v>
      </c>
      <c r="T32" s="28" t="n">
        <v>90</v>
      </c>
      <c r="U32" s="31" t="n">
        <v>650</v>
      </c>
      <c r="V32" s="31">
        <f>R32*S32-P32</f>
        <v/>
      </c>
      <c r="W32" s="28" t="n">
        <v>0.9</v>
      </c>
      <c r="X32" s="28">
        <f>ROUND(V32/MAX(Q32,1),2)</f>
        <v/>
      </c>
      <c r="Y32" s="28" t="n">
        <v>1</v>
      </c>
      <c r="Z32" s="28">
        <f>IF(P32&gt;0,ROUND(V32/P32,2),"")</f>
        <v/>
      </c>
      <c r="AA32" s="28" t="n">
        <v>0.125</v>
      </c>
      <c r="AB32" s="28">
        <f>ROUND(T32/MAX(Q32,1),3)</f>
        <v/>
      </c>
      <c r="AC32" s="32" t="inlineStr">
        <is>
          <t>Servings 650-&gt;700 (+8%)</t>
        </is>
      </c>
      <c r="AD32" s="32" t="inlineStr">
        <is>
          <t>Same dish as EN vanilla; your EN v1.1 numbers copied as-is</t>
        </is>
      </c>
      <c r="AE32" s="32" t="inlineStr"/>
      <c r="AF32" s="32" t="inlineStr"/>
      <c r="AG32" s="32" t="inlineStr"/>
      <c r="AH32" s="28" t="inlineStr">
        <is>
          <t>$650 · 720m · 650×$2 · 90xp</t>
        </is>
      </c>
      <c r="AI32" s="28" t="inlineStr">
        <is>
          <t>$650 · 720m · 700×$2 · 90xp</t>
        </is>
      </c>
      <c r="AJ32" s="28" t="inlineStr">
        <is>
          <t>0.90 → 1.04</t>
        </is>
      </c>
      <c r="AK32" s="28" t="inlineStr">
        <is>
          <t>鼻のトルティーヤ巻き</t>
        </is>
      </c>
    </row>
    <row r="33">
      <c r="A33" s="28" t="n">
        <v>30</v>
      </c>
      <c r="B33" s="28" t="inlineStr">
        <is>
          <t>Chili con Carney</t>
        </is>
      </c>
      <c r="C33" s="28" t="n">
        <v>13</v>
      </c>
      <c r="D33" s="28" t="inlineStr">
        <is>
          <t>Level track</t>
        </is>
      </c>
      <c r="E33" s="28" t="inlineStr">
        <is>
          <t>Chili con Carney</t>
        </is>
      </c>
      <c r="F33" s="28" t="inlineStr">
        <is>
          <t>Yes</t>
        </is>
      </c>
      <c r="G33" s="29" t="inlineStr">
        <is>
          <t>Port EN v1.1</t>
        </is>
      </c>
      <c r="H33" s="30">
        <f>IF(W33&gt;0,X33/W33-1,"")</f>
        <v/>
      </c>
      <c r="I33" s="28" t="inlineStr"/>
      <c r="J33" s="28" t="inlineStr"/>
      <c r="K33" s="31" t="n">
        <v>30</v>
      </c>
      <c r="L33" s="28" t="n">
        <v>5</v>
      </c>
      <c r="M33" s="31" t="n">
        <v>40</v>
      </c>
      <c r="N33" s="28" t="n">
        <v>1</v>
      </c>
      <c r="O33" s="28" t="n">
        <v>5</v>
      </c>
      <c r="P33" s="31" t="n">
        <v>5</v>
      </c>
      <c r="Q33" s="28" t="n">
        <v>5</v>
      </c>
      <c r="R33" s="31" t="n">
        <v>20</v>
      </c>
      <c r="S33" s="28" t="n">
        <v>1</v>
      </c>
      <c r="T33" s="28" t="n">
        <v>5</v>
      </c>
      <c r="U33" s="31" t="n">
        <v>10</v>
      </c>
      <c r="V33" s="31">
        <f>R33*S33-P33</f>
        <v/>
      </c>
      <c r="W33" s="28" t="n">
        <v>2</v>
      </c>
      <c r="X33" s="28">
        <f>ROUND(V33/MAX(Q33,1),2)</f>
        <v/>
      </c>
      <c r="Y33" s="28" t="n">
        <v>0.33</v>
      </c>
      <c r="Z33" s="28">
        <f>IF(P33&gt;0,ROUND(V33/P33,2),"")</f>
        <v/>
      </c>
      <c r="AA33" s="28" t="n">
        <v>1</v>
      </c>
      <c r="AB33" s="28">
        <f>ROUND(T33/MAX(Q33,1),3)</f>
        <v/>
      </c>
      <c r="AC33" s="32" t="inlineStr">
        <is>
          <t>Cost 30-&gt;5 (-83%); Servings 40-&gt;20 (-50%)</t>
        </is>
      </c>
      <c r="AD33" s="32" t="inlineStr">
        <is>
          <t>Same dish as EN vanilla; your EN v1.1 numbers copied as-is</t>
        </is>
      </c>
      <c r="AE33" s="32" t="inlineStr"/>
      <c r="AF33" s="32" t="inlineStr"/>
      <c r="AG33" s="32" t="inlineStr"/>
      <c r="AH33" s="28" t="inlineStr">
        <is>
          <t>$30 · 5m · 40×$1 · 5xp</t>
        </is>
      </c>
      <c r="AI33" s="28" t="inlineStr">
        <is>
          <t>$5 · 5m · 20×$1 · 5xp</t>
        </is>
      </c>
      <c r="AJ33" s="28" t="inlineStr">
        <is>
          <t>2.00 → 3.00</t>
        </is>
      </c>
      <c r="AK33" s="28" t="inlineStr">
        <is>
          <t>どろっとチリコンカン</t>
        </is>
      </c>
    </row>
    <row r="34">
      <c r="A34" s="28" t="n">
        <v>31</v>
      </c>
      <c r="B34" s="28" t="inlineStr">
        <is>
          <t>Loco Tacos</t>
        </is>
      </c>
      <c r="C34" s="28" t="n">
        <v>13</v>
      </c>
      <c r="D34" s="28" t="inlineStr">
        <is>
          <t>Raid recipe</t>
        </is>
      </c>
      <c r="E34" s="28" t="inlineStr">
        <is>
          <t>Loco Tacos</t>
        </is>
      </c>
      <c r="F34" s="28" t="inlineStr">
        <is>
          <t>Yes</t>
        </is>
      </c>
      <c r="G34" s="29" t="inlineStr">
        <is>
          <t>Port EN v1.1</t>
        </is>
      </c>
      <c r="H34" s="30">
        <f>IF(W34&gt;0,X34/W34-1,"")</f>
        <v/>
      </c>
      <c r="I34" s="28" t="inlineStr"/>
      <c r="J34" s="28" t="inlineStr"/>
      <c r="K34" s="31" t="n">
        <v>265</v>
      </c>
      <c r="L34" s="28" t="n">
        <v>60</v>
      </c>
      <c r="M34" s="31" t="n">
        <v>350</v>
      </c>
      <c r="N34" s="28" t="n">
        <v>1</v>
      </c>
      <c r="O34" s="28" t="n">
        <v>30</v>
      </c>
      <c r="P34" s="31" t="n">
        <v>260</v>
      </c>
      <c r="Q34" s="28" t="n">
        <v>60</v>
      </c>
      <c r="R34" s="31" t="n">
        <v>350</v>
      </c>
      <c r="S34" s="28" t="n">
        <v>1</v>
      </c>
      <c r="T34" s="28" t="n">
        <v>30</v>
      </c>
      <c r="U34" s="31" t="n">
        <v>85</v>
      </c>
      <c r="V34" s="31">
        <f>R34*S34-P34</f>
        <v/>
      </c>
      <c r="W34" s="28" t="n">
        <v>1.42</v>
      </c>
      <c r="X34" s="28">
        <f>ROUND(V34/MAX(Q34,1),2)</f>
        <v/>
      </c>
      <c r="Y34" s="28" t="n">
        <v>0.32</v>
      </c>
      <c r="Z34" s="28">
        <f>IF(P34&gt;0,ROUND(V34/P34,2),"")</f>
        <v/>
      </c>
      <c r="AA34" s="28" t="n">
        <v>0.5</v>
      </c>
      <c r="AB34" s="28">
        <f>ROUND(T34/MAX(Q34,1),3)</f>
        <v/>
      </c>
      <c r="AC34" s="32" t="inlineStr">
        <is>
          <t>Cost 265-&gt;260 (-2%)</t>
        </is>
      </c>
      <c r="AD34" s="32" t="inlineStr">
        <is>
          <t>Same dish as EN vanilla; your EN v1.1 numbers copied as-is</t>
        </is>
      </c>
      <c r="AE34" s="32" t="inlineStr"/>
      <c r="AF34" s="32" t="inlineStr"/>
      <c r="AG34" s="32" t="inlineStr"/>
      <c r="AH34" s="28" t="inlineStr">
        <is>
          <t>$265 · 60m · 350×$1 · 30xp</t>
        </is>
      </c>
      <c r="AI34" s="28" t="inlineStr">
        <is>
          <t>$260 · 60m · 350×$1 · 30xp</t>
        </is>
      </c>
      <c r="AJ34" s="28" t="inlineStr">
        <is>
          <t>1.42 → 1.50</t>
        </is>
      </c>
      <c r="AK34" s="28" t="inlineStr">
        <is>
          <t>ゾンビタコス</t>
        </is>
      </c>
    </row>
    <row r="35">
      <c r="A35" s="28" t="n">
        <v>32</v>
      </c>
      <c r="B35" s="28" t="inlineStr">
        <is>
          <t>Entrail-ladas</t>
        </is>
      </c>
      <c r="C35" s="28" t="n">
        <v>14</v>
      </c>
      <c r="D35" s="28" t="inlineStr">
        <is>
          <t>Level track</t>
        </is>
      </c>
      <c r="E35" s="28" t="inlineStr">
        <is>
          <t>Entrail-ladas</t>
        </is>
      </c>
      <c r="F35" s="28" t="inlineStr">
        <is>
          <t>Yes</t>
        </is>
      </c>
      <c r="G35" s="29" t="inlineStr">
        <is>
          <t>Port EN v1.1</t>
        </is>
      </c>
      <c r="H35" s="30">
        <f>IF(W35&gt;0,X35/W35-1,"")</f>
        <v/>
      </c>
      <c r="I35" s="28" t="inlineStr"/>
      <c r="J35" s="28" t="inlineStr"/>
      <c r="K35" s="31" t="n">
        <v>125</v>
      </c>
      <c r="L35" s="28" t="n">
        <v>15</v>
      </c>
      <c r="M35" s="31" t="n">
        <v>75</v>
      </c>
      <c r="N35" s="28" t="n">
        <v>2</v>
      </c>
      <c r="O35" s="28" t="n">
        <v>9</v>
      </c>
      <c r="P35" s="31" t="n">
        <v>55</v>
      </c>
      <c r="Q35" s="28" t="n">
        <v>15</v>
      </c>
      <c r="R35" s="31" t="n">
        <v>75</v>
      </c>
      <c r="S35" s="28" t="n">
        <v>2</v>
      </c>
      <c r="T35" s="28" t="n">
        <v>9</v>
      </c>
      <c r="U35" s="31" t="n">
        <v>25</v>
      </c>
      <c r="V35" s="31">
        <f>R35*S35-P35</f>
        <v/>
      </c>
      <c r="W35" s="28" t="n">
        <v>1.67</v>
      </c>
      <c r="X35" s="28">
        <f>ROUND(V35/MAX(Q35,1),2)</f>
        <v/>
      </c>
      <c r="Y35" s="28" t="n">
        <v>0.2</v>
      </c>
      <c r="Z35" s="28">
        <f>IF(P35&gt;0,ROUND(V35/P35,2),"")</f>
        <v/>
      </c>
      <c r="AA35" s="28" t="n">
        <v>0.6</v>
      </c>
      <c r="AB35" s="28">
        <f>ROUND(T35/MAX(Q35,1),3)</f>
        <v/>
      </c>
      <c r="AC35" s="32" t="inlineStr">
        <is>
          <t>Cost 125-&gt;55 (-56%)</t>
        </is>
      </c>
      <c r="AD35" s="32" t="inlineStr">
        <is>
          <t>Same dish as EN vanilla; your EN v1.1 numbers copied as-is</t>
        </is>
      </c>
      <c r="AE35" s="32" t="inlineStr"/>
      <c r="AF35" s="32" t="inlineStr"/>
      <c r="AG35" s="32" t="inlineStr"/>
      <c r="AH35" s="28" t="inlineStr">
        <is>
          <t>$125 · 15m · 75×$2 · 9xp</t>
        </is>
      </c>
      <c r="AI35" s="28" t="inlineStr">
        <is>
          <t>$55 · 15m · 75×$2 · 9xp</t>
        </is>
      </c>
      <c r="AJ35" s="28" t="inlineStr">
        <is>
          <t>1.67 → 6.33</t>
        </is>
      </c>
      <c r="AK35" s="28" t="inlineStr">
        <is>
          <t>熟成ソーセージ</t>
        </is>
      </c>
    </row>
    <row r="36">
      <c r="A36" s="28" t="n">
        <v>33</v>
      </c>
      <c r="B36" s="28" t="inlineStr">
        <is>
          <t>Guck-a-mole</t>
        </is>
      </c>
      <c r="C36" s="28" t="n">
        <v>14</v>
      </c>
      <c r="D36" s="28" t="inlineStr">
        <is>
          <t>Raid recipe</t>
        </is>
      </c>
      <c r="E36" s="28" t="inlineStr">
        <is>
          <t>Guck-a-mole</t>
        </is>
      </c>
      <c r="F36" s="28" t="inlineStr">
        <is>
          <t>Yes</t>
        </is>
      </c>
      <c r="G36" s="29" t="inlineStr">
        <is>
          <t>Port EN v1.1</t>
        </is>
      </c>
      <c r="H36" s="30">
        <f>IF(W36&gt;0,X36/W36-1,"")</f>
        <v/>
      </c>
      <c r="I36" s="28" t="inlineStr"/>
      <c r="J36" s="28" t="inlineStr"/>
      <c r="K36" s="31" t="n">
        <v>300</v>
      </c>
      <c r="L36" s="28" t="n">
        <v>300</v>
      </c>
      <c r="M36" s="31" t="n">
        <v>650</v>
      </c>
      <c r="N36" s="28" t="n">
        <v>1</v>
      </c>
      <c r="O36" s="28" t="n">
        <v>55</v>
      </c>
      <c r="P36" s="31" t="n">
        <v>130</v>
      </c>
      <c r="Q36" s="28" t="n">
        <v>300</v>
      </c>
      <c r="R36" s="31" t="n">
        <v>750</v>
      </c>
      <c r="S36" s="28" t="n">
        <v>1</v>
      </c>
      <c r="T36" s="28" t="n">
        <v>55</v>
      </c>
      <c r="U36" s="31" t="n">
        <v>350</v>
      </c>
      <c r="V36" s="31">
        <f>R36*S36-P36</f>
        <v/>
      </c>
      <c r="W36" s="28" t="n">
        <v>1.17</v>
      </c>
      <c r="X36" s="28">
        <f>ROUND(V36/MAX(Q36,1),2)</f>
        <v/>
      </c>
      <c r="Y36" s="28" t="n">
        <v>1.17</v>
      </c>
      <c r="Z36" s="28">
        <f>IF(P36&gt;0,ROUND(V36/P36,2),"")</f>
        <v/>
      </c>
      <c r="AA36" s="28" t="n">
        <v>0.183</v>
      </c>
      <c r="AB36" s="28">
        <f>ROUND(T36/MAX(Q36,1),3)</f>
        <v/>
      </c>
      <c r="AC36" s="32" t="inlineStr">
        <is>
          <t>Cost 300-&gt;130 (-57%); Servings 650-&gt;750 (+15%)</t>
        </is>
      </c>
      <c r="AD36" s="32" t="inlineStr">
        <is>
          <t>Same dish as EN vanilla; your EN v1.1 numbers copied as-is</t>
        </is>
      </c>
      <c r="AE36" s="32" t="inlineStr"/>
      <c r="AF36" s="32" t="inlineStr"/>
      <c r="AG36" s="32" t="inlineStr"/>
      <c r="AH36" s="28" t="inlineStr">
        <is>
          <t>$300 · 300m · 650×$1 · 55xp</t>
        </is>
      </c>
      <c r="AI36" s="28" t="inlineStr">
        <is>
          <t>$130 · 300m · 750×$1 · 55xp</t>
        </is>
      </c>
      <c r="AJ36" s="28" t="inlineStr">
        <is>
          <t>1.17 → 2.07</t>
        </is>
      </c>
      <c r="AK36" s="28" t="inlineStr">
        <is>
          <t>イヤーなアボカドソース</t>
        </is>
      </c>
    </row>
    <row r="37">
      <c r="A37" s="28" t="n">
        <v>34</v>
      </c>
      <c r="B37" s="28" t="inlineStr">
        <is>
          <t>Blood Pudding</t>
        </is>
      </c>
      <c r="C37" s="28" t="n">
        <v>15</v>
      </c>
      <c r="D37" s="28" t="inlineStr">
        <is>
          <t>Level track</t>
        </is>
      </c>
      <c r="E37" s="28" t="inlineStr">
        <is>
          <t>Blood Pudding</t>
        </is>
      </c>
      <c r="F37" s="28" t="inlineStr">
        <is>
          <t>Yes</t>
        </is>
      </c>
      <c r="G37" s="29" t="inlineStr">
        <is>
          <t>Port EN v1.1</t>
        </is>
      </c>
      <c r="H37" s="30">
        <f>IF(W37&gt;0,X37/W37-1,"")</f>
        <v/>
      </c>
      <c r="I37" s="28" t="inlineStr"/>
      <c r="J37" s="28" t="inlineStr"/>
      <c r="K37" s="31" t="n">
        <v>1900</v>
      </c>
      <c r="L37" s="28" t="n">
        <v>1440</v>
      </c>
      <c r="M37" s="31" t="n">
        <v>850</v>
      </c>
      <c r="N37" s="28" t="n">
        <v>3</v>
      </c>
      <c r="O37" s="28" t="n">
        <v>120</v>
      </c>
      <c r="P37" s="31" t="n">
        <v>1900</v>
      </c>
      <c r="Q37" s="28" t="n">
        <v>1440</v>
      </c>
      <c r="R37" s="31" t="n">
        <v>900</v>
      </c>
      <c r="S37" s="28" t="n">
        <v>3</v>
      </c>
      <c r="T37" s="28" t="n">
        <v>120</v>
      </c>
      <c r="U37" s="31" t="n">
        <v>650</v>
      </c>
      <c r="V37" s="31">
        <f>R37*S37-P37</f>
        <v/>
      </c>
      <c r="W37" s="28" t="n">
        <v>0.45</v>
      </c>
      <c r="X37" s="28">
        <f>ROUND(V37/MAX(Q37,1),2)</f>
        <v/>
      </c>
      <c r="Y37" s="28" t="n">
        <v>0.34</v>
      </c>
      <c r="Z37" s="28">
        <f>IF(P37&gt;0,ROUND(V37/P37,2),"")</f>
        <v/>
      </c>
      <c r="AA37" s="28" t="n">
        <v>0.083</v>
      </c>
      <c r="AB37" s="28">
        <f>ROUND(T37/MAX(Q37,1),3)</f>
        <v/>
      </c>
      <c r="AC37" s="32" t="inlineStr">
        <is>
          <t>Servings 850-&gt;900 (+6%)</t>
        </is>
      </c>
      <c r="AD37" s="32" t="inlineStr">
        <is>
          <t>Same dish as EN vanilla; your EN v1.1 numbers copied as-is</t>
        </is>
      </c>
      <c r="AE37" s="32" t="inlineStr"/>
      <c r="AF37" s="32" t="inlineStr"/>
      <c r="AG37" s="32" t="inlineStr"/>
      <c r="AH37" s="28" t="inlineStr">
        <is>
          <t>$1,900 · 1440m · 850×$3 · 120xp</t>
        </is>
      </c>
      <c r="AI37" s="28" t="inlineStr">
        <is>
          <t>$1,900 · 1440m · 900×$3 · 120xp</t>
        </is>
      </c>
      <c r="AJ37" s="28" t="inlineStr">
        <is>
          <t>0.45 → 0.56</t>
        </is>
      </c>
      <c r="AK37" s="28" t="inlineStr">
        <is>
          <t>プッチンされたプリン</t>
        </is>
      </c>
    </row>
    <row r="38">
      <c r="A38" s="28" t="n">
        <v>35</v>
      </c>
      <c r="B38" s="28" t="inlineStr">
        <is>
          <t>Hag-Gus</t>
        </is>
      </c>
      <c r="C38" s="28" t="n">
        <v>15</v>
      </c>
      <c r="D38" s="28" t="inlineStr">
        <is>
          <t>Raid recipe</t>
        </is>
      </c>
      <c r="E38" s="28" t="inlineStr">
        <is>
          <t>Hag-Gus</t>
        </is>
      </c>
      <c r="F38" s="28" t="inlineStr">
        <is>
          <t>Yes</t>
        </is>
      </c>
      <c r="G38" s="33" t="inlineStr">
        <is>
          <t>Port EN v1.1 (no change)</t>
        </is>
      </c>
      <c r="H38" s="30">
        <f>IF(W38&gt;0,X38/W38-1,"")</f>
        <v/>
      </c>
      <c r="I38" s="28" t="inlineStr"/>
      <c r="J38" s="28" t="inlineStr"/>
      <c r="K38" s="31" t="n">
        <v>220</v>
      </c>
      <c r="L38" s="28" t="n">
        <v>90</v>
      </c>
      <c r="M38" s="31" t="n">
        <v>100</v>
      </c>
      <c r="N38" s="28" t="n">
        <v>3</v>
      </c>
      <c r="O38" s="28" t="n">
        <v>35</v>
      </c>
      <c r="P38" s="31" t="n">
        <v>220</v>
      </c>
      <c r="Q38" s="28" t="n">
        <v>90</v>
      </c>
      <c r="R38" s="31" t="n">
        <v>100</v>
      </c>
      <c r="S38" s="28" t="n">
        <v>3</v>
      </c>
      <c r="T38" s="28" t="n">
        <v>35</v>
      </c>
      <c r="U38" s="31" t="n">
        <v>80</v>
      </c>
      <c r="V38" s="31">
        <f>R38*S38-P38</f>
        <v/>
      </c>
      <c r="W38" s="28" t="n">
        <v>0.89</v>
      </c>
      <c r="X38" s="28">
        <f>ROUND(V38/MAX(Q38,1),2)</f>
        <v/>
      </c>
      <c r="Y38" s="28" t="n">
        <v>0.36</v>
      </c>
      <c r="Z38" s="28">
        <f>IF(P38&gt;0,ROUND(V38/P38,2),"")</f>
        <v/>
      </c>
      <c r="AA38" s="28" t="n">
        <v>0.389</v>
      </c>
      <c r="AB38" s="28">
        <f>ROUND(T38/MAX(Q38,1),3)</f>
        <v/>
      </c>
      <c r="AC38" s="32" t="inlineStr">
        <is>
          <t>—</t>
        </is>
      </c>
      <c r="AD38" s="32" t="inlineStr">
        <is>
          <t>Same dish as EN vanilla; you left it unchanged in EN v1.1</t>
        </is>
      </c>
      <c r="AE38" s="32" t="inlineStr"/>
      <c r="AF38" s="32" t="inlineStr"/>
      <c r="AG38" s="32" t="inlineStr"/>
      <c r="AH38" s="28" t="inlineStr">
        <is>
          <t>$220 · 90m · 100×$3 · 35xp</t>
        </is>
      </c>
      <c r="AI38" s="28" t="inlineStr">
        <is>
          <t>$220 · 90m · 100×$3 · 35xp</t>
        </is>
      </c>
      <c r="AJ38" s="28" t="inlineStr">
        <is>
          <t>0.89 → 0.89</t>
        </is>
      </c>
      <c r="AK38" s="28" t="inlineStr">
        <is>
          <t>あやしい肉詰め</t>
        </is>
      </c>
    </row>
    <row r="39">
      <c r="A39" s="28" t="n">
        <v>36</v>
      </c>
      <c r="B39" s="28" t="inlineStr">
        <is>
          <t>Stake &amp; Kidney Pies</t>
        </is>
      </c>
      <c r="C39" s="28" t="n">
        <v>16</v>
      </c>
      <c r="D39" s="28" t="inlineStr">
        <is>
          <t>Level track</t>
        </is>
      </c>
      <c r="E39" s="28" t="inlineStr">
        <is>
          <t>Stake &amp; Kidney Pies</t>
        </is>
      </c>
      <c r="F39" s="28" t="inlineStr">
        <is>
          <t>Yes</t>
        </is>
      </c>
      <c r="G39" s="29" t="inlineStr">
        <is>
          <t>Port EN v1.1</t>
        </is>
      </c>
      <c r="H39" s="30">
        <f>IF(W39&gt;0,X39/W39-1,"")</f>
        <v/>
      </c>
      <c r="I39" s="28" t="inlineStr"/>
      <c r="J39" s="28" t="inlineStr"/>
      <c r="K39" s="31" t="n">
        <v>415</v>
      </c>
      <c r="L39" s="28" t="n">
        <v>720</v>
      </c>
      <c r="M39" s="31" t="n">
        <v>300</v>
      </c>
      <c r="N39" s="28" t="n">
        <v>3</v>
      </c>
      <c r="O39" s="28" t="n">
        <v>95</v>
      </c>
      <c r="P39" s="31" t="n">
        <v>410</v>
      </c>
      <c r="Q39" s="28" t="n">
        <v>720</v>
      </c>
      <c r="R39" s="31" t="n">
        <v>325</v>
      </c>
      <c r="S39" s="28" t="n">
        <v>3</v>
      </c>
      <c r="T39" s="28" t="n">
        <v>95</v>
      </c>
      <c r="U39" s="31" t="n">
        <v>485</v>
      </c>
      <c r="V39" s="31">
        <f>R39*S39-P39</f>
        <v/>
      </c>
      <c r="W39" s="28" t="n">
        <v>0.67</v>
      </c>
      <c r="X39" s="28">
        <f>ROUND(V39/MAX(Q39,1),2)</f>
        <v/>
      </c>
      <c r="Y39" s="28" t="n">
        <v>1.17</v>
      </c>
      <c r="Z39" s="28">
        <f>IF(P39&gt;0,ROUND(V39/P39,2),"")</f>
        <v/>
      </c>
      <c r="AA39" s="28" t="n">
        <v>0.132</v>
      </c>
      <c r="AB39" s="28">
        <f>ROUND(T39/MAX(Q39,1),3)</f>
        <v/>
      </c>
      <c r="AC39" s="32" t="inlineStr">
        <is>
          <t>Cost 415-&gt;410 (-1%); Servings 300-&gt;325 (+8%)</t>
        </is>
      </c>
      <c r="AD39" s="32" t="inlineStr">
        <is>
          <t>Same dish as EN vanilla; your EN v1.1 numbers copied as-is</t>
        </is>
      </c>
      <c r="AE39" s="32" t="inlineStr"/>
      <c r="AF39" s="32" t="inlineStr"/>
      <c r="AG39" s="32" t="inlineStr"/>
      <c r="AH39" s="28" t="inlineStr">
        <is>
          <t>$415 · 720m · 300×$3 · 95xp</t>
        </is>
      </c>
      <c r="AI39" s="28" t="inlineStr">
        <is>
          <t>$410 · 720m · 325×$3 · 95xp</t>
        </is>
      </c>
      <c r="AJ39" s="28" t="inlineStr">
        <is>
          <t>0.67 → 0.79</t>
        </is>
      </c>
      <c r="AK39" s="28" t="inlineStr">
        <is>
          <t>何かが溢れ出すパイ</t>
        </is>
      </c>
    </row>
    <row r="40">
      <c r="A40" s="28" t="n">
        <v>37</v>
      </c>
      <c r="B40" s="28" t="inlineStr">
        <is>
          <t>Fishy Chips</t>
        </is>
      </c>
      <c r="C40" s="28" t="n">
        <v>16</v>
      </c>
      <c r="D40" s="28" t="inlineStr">
        <is>
          <t>Raid recipe</t>
        </is>
      </c>
      <c r="E40" s="28" t="inlineStr">
        <is>
          <t>Fishy Chips</t>
        </is>
      </c>
      <c r="F40" s="28" t="inlineStr">
        <is>
          <t>Yes</t>
        </is>
      </c>
      <c r="G40" s="29" t="inlineStr">
        <is>
          <t>Port EN v1.1</t>
        </is>
      </c>
      <c r="H40" s="30">
        <f>IF(W40&gt;0,X40/W40-1,"")</f>
        <v/>
      </c>
      <c r="I40" s="28" t="inlineStr"/>
      <c r="J40" s="28" t="inlineStr"/>
      <c r="K40" s="31" t="n">
        <v>300</v>
      </c>
      <c r="L40" s="28" t="n">
        <v>180</v>
      </c>
      <c r="M40" s="31" t="n">
        <v>220</v>
      </c>
      <c r="N40" s="28" t="n">
        <v>2</v>
      </c>
      <c r="O40" s="28" t="n">
        <v>40</v>
      </c>
      <c r="P40" s="31" t="n">
        <v>70</v>
      </c>
      <c r="Q40" s="28" t="n">
        <v>180</v>
      </c>
      <c r="R40" s="31" t="n">
        <v>250</v>
      </c>
      <c r="S40" s="28" t="n">
        <v>2</v>
      </c>
      <c r="T40" s="28" t="n">
        <v>40</v>
      </c>
      <c r="U40" s="31" t="n">
        <v>140</v>
      </c>
      <c r="V40" s="31">
        <f>R40*S40-P40</f>
        <v/>
      </c>
      <c r="W40" s="28" t="n">
        <v>0.78</v>
      </c>
      <c r="X40" s="28">
        <f>ROUND(V40/MAX(Q40,1),2)</f>
        <v/>
      </c>
      <c r="Y40" s="28" t="n">
        <v>0.47</v>
      </c>
      <c r="Z40" s="28">
        <f>IF(P40&gt;0,ROUND(V40/P40,2),"")</f>
        <v/>
      </c>
      <c r="AA40" s="28" t="n">
        <v>0.222</v>
      </c>
      <c r="AB40" s="28">
        <f>ROUND(T40/MAX(Q40,1),3)</f>
        <v/>
      </c>
      <c r="AC40" s="32" t="inlineStr">
        <is>
          <t>Cost 300-&gt;70 (-77%); Servings 220-&gt;250 (+14%)</t>
        </is>
      </c>
      <c r="AD40" s="32" t="inlineStr">
        <is>
          <t>Same dish as EN vanilla; your EN v1.1 numbers copied as-is</t>
        </is>
      </c>
      <c r="AE40" s="32" t="inlineStr"/>
      <c r="AF40" s="32" t="inlineStr"/>
      <c r="AG40" s="32" t="inlineStr"/>
      <c r="AH40" s="28" t="inlineStr">
        <is>
          <t>$300 · 180m · 220×$2 · 40xp</t>
        </is>
      </c>
      <c r="AI40" s="28" t="inlineStr">
        <is>
          <t>$70 · 180m · 250×$2 · 40xp</t>
        </is>
      </c>
      <c r="AJ40" s="28" t="inlineStr">
        <is>
          <t>0.78 → 2.39</t>
        </is>
      </c>
      <c r="AK40" s="28" t="inlineStr">
        <is>
          <t>フィッシュ＆チップス</t>
        </is>
      </c>
    </row>
    <row r="41">
      <c r="A41" s="28" t="n">
        <v>38</v>
      </c>
      <c r="B41" s="28" t="inlineStr">
        <is>
          <t>Head Cheesesteak</t>
        </is>
      </c>
      <c r="C41" s="28" t="n">
        <v>17</v>
      </c>
      <c r="D41" s="28" t="inlineStr">
        <is>
          <t>Level track</t>
        </is>
      </c>
      <c r="E41" s="28" t="inlineStr">
        <is>
          <t>Head Cheesesteak</t>
        </is>
      </c>
      <c r="F41" s="28" t="inlineStr">
        <is>
          <t>Yes</t>
        </is>
      </c>
      <c r="G41" s="33" t="inlineStr">
        <is>
          <t>Port EN v1.1 (no change)</t>
        </is>
      </c>
      <c r="H41" s="30">
        <f>IF(W41&gt;0,X41/W41-1,"")</f>
        <v/>
      </c>
      <c r="I41" s="28" t="inlineStr"/>
      <c r="J41" s="28" t="inlineStr"/>
      <c r="K41" s="31" t="n">
        <v>385</v>
      </c>
      <c r="L41" s="28" t="n">
        <v>30</v>
      </c>
      <c r="M41" s="31" t="n">
        <v>140</v>
      </c>
      <c r="N41" s="28" t="n">
        <v>3</v>
      </c>
      <c r="O41" s="28" t="n">
        <v>15</v>
      </c>
      <c r="P41" s="31" t="n">
        <v>385</v>
      </c>
      <c r="Q41" s="28" t="n">
        <v>30</v>
      </c>
      <c r="R41" s="31" t="n">
        <v>140</v>
      </c>
      <c r="S41" s="28" t="n">
        <v>3</v>
      </c>
      <c r="T41" s="28" t="n">
        <v>15</v>
      </c>
      <c r="U41" s="31" t="n">
        <v>35</v>
      </c>
      <c r="V41" s="31">
        <f>R41*S41-P41</f>
        <v/>
      </c>
      <c r="W41" s="28" t="n">
        <v>1.17</v>
      </c>
      <c r="X41" s="28">
        <f>ROUND(V41/MAX(Q41,1),2)</f>
        <v/>
      </c>
      <c r="Y41" s="28" t="n">
        <v>0.09</v>
      </c>
      <c r="Z41" s="28">
        <f>IF(P41&gt;0,ROUND(V41/P41,2),"")</f>
        <v/>
      </c>
      <c r="AA41" s="28" t="n">
        <v>0.5</v>
      </c>
      <c r="AB41" s="28">
        <f>ROUND(T41/MAX(Q41,1),3)</f>
        <v/>
      </c>
      <c r="AC41" s="32" t="inlineStr">
        <is>
          <t>—</t>
        </is>
      </c>
      <c r="AD41" s="32" t="inlineStr">
        <is>
          <t>Same dish as EN vanilla; you left it unchanged in EN v1.1</t>
        </is>
      </c>
      <c r="AE41" s="32" t="inlineStr"/>
      <c r="AF41" s="32" t="inlineStr"/>
      <c r="AG41" s="32" t="inlineStr"/>
      <c r="AH41" s="28" t="inlineStr">
        <is>
          <t>$385 · 30m · 140×$3 · 15xp</t>
        </is>
      </c>
      <c r="AI41" s="28" t="inlineStr">
        <is>
          <t>$385 · 30m · 140×$3 · 15xp</t>
        </is>
      </c>
      <c r="AJ41" s="28" t="inlineStr">
        <is>
          <t>1.17 → 1.17</t>
        </is>
      </c>
      <c r="AK41" s="28" t="inlineStr">
        <is>
          <t>目玉が飛び出るドッグ</t>
        </is>
      </c>
    </row>
    <row r="42">
      <c r="A42" s="28" t="n">
        <v>39</v>
      </c>
      <c r="B42" s="28" t="inlineStr">
        <is>
          <t>Hunch-Back Roast</t>
        </is>
      </c>
      <c r="C42" s="28" t="n">
        <v>17</v>
      </c>
      <c r="D42" s="28" t="inlineStr">
        <is>
          <t>Raid recipe</t>
        </is>
      </c>
      <c r="E42" s="28" t="inlineStr">
        <is>
          <t>Hunch-Back Roast</t>
        </is>
      </c>
      <c r="F42" s="28" t="inlineStr">
        <is>
          <t>No</t>
        </is>
      </c>
      <c r="G42" s="34" t="inlineStr">
        <is>
          <t>EN pattern: buff</t>
        </is>
      </c>
      <c r="H42" s="30">
        <f>IF(W42&gt;0,X42/W42-1,"")</f>
        <v/>
      </c>
      <c r="I42" s="28" t="inlineStr"/>
      <c r="J42" s="28" t="inlineStr"/>
      <c r="K42" s="31" t="n">
        <v>1400</v>
      </c>
      <c r="L42" s="28" t="n">
        <v>1080</v>
      </c>
      <c r="M42" s="31" t="n">
        <v>650</v>
      </c>
      <c r="N42" s="28" t="n">
        <v>3</v>
      </c>
      <c r="O42" s="28" t="n">
        <v>130</v>
      </c>
      <c r="P42" s="31" t="n">
        <v>1400</v>
      </c>
      <c r="Q42" s="28" t="n">
        <v>1080</v>
      </c>
      <c r="R42" s="31" t="n">
        <v>675</v>
      </c>
      <c r="S42" s="28" t="n">
        <v>3</v>
      </c>
      <c r="T42" s="28" t="n">
        <v>130</v>
      </c>
      <c r="U42" s="31" t="n">
        <v>550</v>
      </c>
      <c r="V42" s="31">
        <f>R42*S42-P42</f>
        <v/>
      </c>
      <c r="W42" s="28" t="n">
        <v>0.51</v>
      </c>
      <c r="X42" s="28">
        <f>ROUND(V42/MAX(Q42,1),2)</f>
        <v/>
      </c>
      <c r="Y42" s="28" t="n">
        <v>0.39</v>
      </c>
      <c r="Z42" s="28">
        <f>IF(P42&gt;0,ROUND(V42/P42,2),"")</f>
        <v/>
      </c>
      <c r="AA42" s="28" t="n">
        <v>0.12</v>
      </c>
      <c r="AB42" s="28">
        <f>ROUND(T42/MAX(Q42,1),3)</f>
        <v/>
      </c>
      <c r="AC42" s="32" t="inlineStr">
        <is>
          <t>Servings 650-&gt;675 (+4%)</t>
        </is>
      </c>
      <c r="AD42" s="32" t="inlineStr">
        <is>
          <t>Treated like Rotisserie Chicken, the middle of the 5 most similar EN dishes: you changed it cost -1%, servings +4% (profit ×1.17)</t>
        </is>
      </c>
      <c r="AE42" s="32" t="inlineStr">
        <is>
          <t>Rotisserie Chicken (EN Lv10: cost -1%, servings +4%)</t>
        </is>
      </c>
      <c r="AF42" s="32" t="inlineStr">
        <is>
          <t>Bangers &amp; Mush, Rotisserie Chicken, Blood Pudding, Wormicelli, Sloppy "Joe"</t>
        </is>
      </c>
      <c r="AG42" s="32" t="inlineStr"/>
      <c r="AH42" s="28" t="inlineStr">
        <is>
          <t>$650 · 45m · 120×$6 · 40xp</t>
        </is>
      </c>
      <c r="AI42" s="28" t="inlineStr">
        <is>
          <t>$650 · 45m · 120×$6 · 40xp</t>
        </is>
      </c>
      <c r="AJ42" s="28" t="inlineStr">
        <is>
          <t>1.56 → 1.56</t>
        </is>
      </c>
      <c r="AK42" s="28" t="inlineStr">
        <is>
          <t>ソーセージ＆マッシュ</t>
        </is>
      </c>
    </row>
    <row r="43">
      <c r="A43" s="28" t="n">
        <v>40</v>
      </c>
      <c r="B43" s="28" t="inlineStr">
        <is>
          <t>Lady Fingers</t>
        </is>
      </c>
      <c r="C43" s="28" t="n">
        <v>18</v>
      </c>
      <c r="D43" s="28" t="inlineStr">
        <is>
          <t>Level track</t>
        </is>
      </c>
      <c r="E43" s="28" t="inlineStr">
        <is>
          <t>Lady Fingers</t>
        </is>
      </c>
      <c r="F43" s="28" t="inlineStr">
        <is>
          <t>Yes</t>
        </is>
      </c>
      <c r="G43" s="33" t="inlineStr">
        <is>
          <t>Port EN v1.1 (no change)</t>
        </is>
      </c>
      <c r="H43" s="30">
        <f>IF(W43&gt;0,X43/W43-1,"")</f>
        <v/>
      </c>
      <c r="I43" s="28" t="inlineStr"/>
      <c r="J43" s="28" t="inlineStr"/>
      <c r="K43" s="31" t="n">
        <v>210</v>
      </c>
      <c r="L43" s="28" t="n">
        <v>15</v>
      </c>
      <c r="M43" s="31" t="n">
        <v>120</v>
      </c>
      <c r="N43" s="28" t="n">
        <v>6</v>
      </c>
      <c r="O43" s="28" t="n">
        <v>10</v>
      </c>
      <c r="P43" s="31" t="n">
        <v>210</v>
      </c>
      <c r="Q43" s="28" t="n">
        <v>15</v>
      </c>
      <c r="R43" s="31" t="n">
        <v>120</v>
      </c>
      <c r="S43" s="28" t="n">
        <v>6</v>
      </c>
      <c r="T43" s="28" t="n">
        <v>10</v>
      </c>
      <c r="U43" s="31" t="n">
        <v>510</v>
      </c>
      <c r="V43" s="31">
        <f>R43*S43-P43</f>
        <v/>
      </c>
      <c r="W43" s="28" t="n">
        <v>34</v>
      </c>
      <c r="X43" s="28">
        <f>ROUND(V43/MAX(Q43,1),2)</f>
        <v/>
      </c>
      <c r="Y43" s="28" t="n">
        <v>2.43</v>
      </c>
      <c r="Z43" s="28">
        <f>IF(P43&gt;0,ROUND(V43/P43,2),"")</f>
        <v/>
      </c>
      <c r="AA43" s="28" t="n">
        <v>0.667</v>
      </c>
      <c r="AB43" s="28">
        <f>ROUND(T43/MAX(Q43,1),3)</f>
        <v/>
      </c>
      <c r="AC43" s="32" t="inlineStr">
        <is>
          <t>—</t>
        </is>
      </c>
      <c r="AD43" s="32" t="inlineStr">
        <is>
          <t>Same dish as EN vanilla; you left it unchanged in EN v1.1</t>
        </is>
      </c>
      <c r="AE43" s="32" t="inlineStr"/>
      <c r="AF43" s="32" t="inlineStr"/>
      <c r="AG43" s="32" t="inlineStr">
        <is>
          <t>Quick-cash dish already (34.0 $/min)</t>
        </is>
      </c>
      <c r="AH43" s="28" t="inlineStr">
        <is>
          <t>$210 · 15m · 120×$6 · 10xp</t>
        </is>
      </c>
      <c r="AI43" s="28" t="inlineStr">
        <is>
          <t>$210 · 15m · 120×$6 · 10xp</t>
        </is>
      </c>
      <c r="AJ43" s="28" t="inlineStr">
        <is>
          <t>34.00 → 34.00</t>
        </is>
      </c>
      <c r="AK43" s="28" t="inlineStr">
        <is>
          <t>指の切り落とし</t>
        </is>
      </c>
    </row>
    <row r="44">
      <c r="A44" s="28" t="n">
        <v>41</v>
      </c>
      <c r="B44" s="28" t="inlineStr">
        <is>
          <t>Foie Gross</t>
        </is>
      </c>
      <c r="C44" s="28" t="n">
        <v>18</v>
      </c>
      <c r="D44" s="28" t="inlineStr">
        <is>
          <t>Raid recipe</t>
        </is>
      </c>
      <c r="E44" s="28" t="inlineStr">
        <is>
          <t>Foie Gross</t>
        </is>
      </c>
      <c r="F44" s="28" t="inlineStr">
        <is>
          <t>Yes</t>
        </is>
      </c>
      <c r="G44" s="29" t="inlineStr">
        <is>
          <t>Port EN v1.1</t>
        </is>
      </c>
      <c r="H44" s="30">
        <f>IF(W44&gt;0,X44/W44-1,"")</f>
        <v/>
      </c>
      <c r="I44" s="28" t="inlineStr"/>
      <c r="J44" s="28" t="inlineStr"/>
      <c r="K44" s="31" t="n">
        <v>1250</v>
      </c>
      <c r="L44" s="28" t="n">
        <v>480</v>
      </c>
      <c r="M44" s="31" t="n">
        <v>300</v>
      </c>
      <c r="N44" s="28" t="n">
        <v>6</v>
      </c>
      <c r="O44" s="28" t="n">
        <v>85</v>
      </c>
      <c r="P44" s="31" t="n">
        <v>1000</v>
      </c>
      <c r="Q44" s="28" t="n">
        <v>480</v>
      </c>
      <c r="R44" s="31" t="n">
        <v>325</v>
      </c>
      <c r="S44" s="28" t="n">
        <v>6</v>
      </c>
      <c r="T44" s="28" t="n">
        <v>85</v>
      </c>
      <c r="U44" s="31" t="n">
        <v>550</v>
      </c>
      <c r="V44" s="31">
        <f>R44*S44-P44</f>
        <v/>
      </c>
      <c r="W44" s="28" t="n">
        <v>1.15</v>
      </c>
      <c r="X44" s="28">
        <f>ROUND(V44/MAX(Q44,1),2)</f>
        <v/>
      </c>
      <c r="Y44" s="28" t="n">
        <v>0.44</v>
      </c>
      <c r="Z44" s="28">
        <f>IF(P44&gt;0,ROUND(V44/P44,2),"")</f>
        <v/>
      </c>
      <c r="AA44" s="28" t="n">
        <v>0.177</v>
      </c>
      <c r="AB44" s="28">
        <f>ROUND(T44/MAX(Q44,1),3)</f>
        <v/>
      </c>
      <c r="AC44" s="32" t="inlineStr">
        <is>
          <t>Cost 1,250-&gt;1,000 (-20%); Servings 300-&gt;325 (+8%)</t>
        </is>
      </c>
      <c r="AD44" s="32" t="inlineStr">
        <is>
          <t>Same dish as EN vanilla; your EN v1.1 numbers copied as-is</t>
        </is>
      </c>
      <c r="AE44" s="32" t="inlineStr"/>
      <c r="AF44" s="32" t="inlineStr"/>
      <c r="AG44" s="32" t="inlineStr"/>
      <c r="AH44" s="28" t="inlineStr">
        <is>
          <t>$1,250 · 480m · 300×$6 · 85xp</t>
        </is>
      </c>
      <c r="AI44" s="28" t="inlineStr">
        <is>
          <t>$1,000 · 480m · 325×$6 · 85xp</t>
        </is>
      </c>
      <c r="AJ44" s="28" t="inlineStr">
        <is>
          <t>1.15 → 1.98</t>
        </is>
      </c>
      <c r="AK44" s="28" t="inlineStr">
        <is>
          <t>ゾンビ特製フォアグラ</t>
        </is>
      </c>
    </row>
    <row r="45">
      <c r="A45" s="28" t="n">
        <v>42</v>
      </c>
      <c r="B45" s="28" t="inlineStr">
        <is>
          <t>Escargut</t>
        </is>
      </c>
      <c r="C45" s="28" t="n">
        <v>19</v>
      </c>
      <c r="D45" s="28" t="inlineStr">
        <is>
          <t>Level track</t>
        </is>
      </c>
      <c r="E45" s="28" t="inlineStr">
        <is>
          <t>Escargut</t>
        </is>
      </c>
      <c r="F45" s="28" t="inlineStr">
        <is>
          <t>Yes</t>
        </is>
      </c>
      <c r="G45" s="33" t="inlineStr">
        <is>
          <t>Port EN v1.1 (no change)</t>
        </is>
      </c>
      <c r="H45" s="30">
        <f>IF(W45&gt;0,X45/W45-1,"")</f>
        <v/>
      </c>
      <c r="I45" s="28" t="inlineStr"/>
      <c r="J45" s="28" t="inlineStr"/>
      <c r="K45" s="31" t="n">
        <v>5500</v>
      </c>
      <c r="L45" s="28" t="n">
        <v>2880</v>
      </c>
      <c r="M45" s="31" t="n">
        <v>1100</v>
      </c>
      <c r="N45" s="28" t="n">
        <v>7</v>
      </c>
      <c r="O45" s="28" t="n">
        <v>200</v>
      </c>
      <c r="P45" s="31" t="n">
        <v>5500</v>
      </c>
      <c r="Q45" s="28" t="n">
        <v>2880</v>
      </c>
      <c r="R45" s="31" t="n">
        <v>1100</v>
      </c>
      <c r="S45" s="28" t="n">
        <v>7</v>
      </c>
      <c r="T45" s="28" t="n">
        <v>200</v>
      </c>
      <c r="U45" s="31" t="n">
        <v>2200</v>
      </c>
      <c r="V45" s="31">
        <f>R45*S45-P45</f>
        <v/>
      </c>
      <c r="W45" s="28" t="n">
        <v>0.76</v>
      </c>
      <c r="X45" s="28">
        <f>ROUND(V45/MAX(Q45,1),2)</f>
        <v/>
      </c>
      <c r="Y45" s="28" t="n">
        <v>0.4</v>
      </c>
      <c r="Z45" s="28">
        <f>IF(P45&gt;0,ROUND(V45/P45,2),"")</f>
        <v/>
      </c>
      <c r="AA45" s="28" t="n">
        <v>0.06900000000000001</v>
      </c>
      <c r="AB45" s="28">
        <f>ROUND(T45/MAX(Q45,1),3)</f>
        <v/>
      </c>
      <c r="AC45" s="32" t="inlineStr">
        <is>
          <t>—</t>
        </is>
      </c>
      <c r="AD45" s="32" t="inlineStr">
        <is>
          <t>Same dish as EN vanilla; you left it unchanged in EN v1.1</t>
        </is>
      </c>
      <c r="AE45" s="32" t="inlineStr"/>
      <c r="AF45" s="32" t="inlineStr"/>
      <c r="AG45" s="32" t="inlineStr"/>
      <c r="AH45" s="28" t="inlineStr">
        <is>
          <t>$5,500 · 2880m · 1100×$7 · 200xp</t>
        </is>
      </c>
      <c r="AI45" s="28" t="inlineStr">
        <is>
          <t>$5,500 · 2880m · 1100×$7 · 200xp</t>
        </is>
      </c>
      <c r="AJ45" s="28" t="inlineStr">
        <is>
          <t>0.76 → 0.76</t>
        </is>
      </c>
      <c r="AK45" s="28" t="inlineStr">
        <is>
          <t>べとべとエスカルゴ</t>
        </is>
      </c>
    </row>
    <row r="46">
      <c r="A46" s="28" t="n">
        <v>43</v>
      </c>
      <c r="B46" s="28" t="inlineStr">
        <is>
          <t>Stake Tar-Tar</t>
        </is>
      </c>
      <c r="C46" s="28" t="n">
        <v>19</v>
      </c>
      <c r="D46" s="28" t="inlineStr">
        <is>
          <t>Raid recipe</t>
        </is>
      </c>
      <c r="E46" s="28" t="inlineStr">
        <is>
          <t>Stake Tar-Tar</t>
        </is>
      </c>
      <c r="F46" s="28" t="inlineStr">
        <is>
          <t>Yes</t>
        </is>
      </c>
      <c r="G46" s="29" t="inlineStr">
        <is>
          <t>Port EN v1.1</t>
        </is>
      </c>
      <c r="H46" s="30">
        <f>IF(W46&gt;0,X46/W46-1,"")</f>
        <v/>
      </c>
      <c r="I46" s="28" t="inlineStr"/>
      <c r="J46" s="28" t="inlineStr"/>
      <c r="K46" s="31" t="n">
        <v>1040</v>
      </c>
      <c r="L46" s="28" t="n">
        <v>120</v>
      </c>
      <c r="M46" s="31" t="n">
        <v>150</v>
      </c>
      <c r="N46" s="28" t="n">
        <v>8</v>
      </c>
      <c r="O46" s="28" t="n">
        <v>45</v>
      </c>
      <c r="P46" s="31" t="n">
        <v>1000</v>
      </c>
      <c r="Q46" s="28" t="n">
        <v>120</v>
      </c>
      <c r="R46" s="31" t="n">
        <v>150</v>
      </c>
      <c r="S46" s="28" t="n">
        <v>11</v>
      </c>
      <c r="T46" s="28" t="n">
        <v>45</v>
      </c>
      <c r="U46" s="31" t="n">
        <v>160</v>
      </c>
      <c r="V46" s="31">
        <f>R46*S46-P46</f>
        <v/>
      </c>
      <c r="W46" s="28" t="n">
        <v>1.33</v>
      </c>
      <c r="X46" s="28">
        <f>ROUND(V46/MAX(Q46,1),2)</f>
        <v/>
      </c>
      <c r="Y46" s="28" t="n">
        <v>0.15</v>
      </c>
      <c r="Z46" s="28">
        <f>IF(P46&gt;0,ROUND(V46/P46,2),"")</f>
        <v/>
      </c>
      <c r="AA46" s="28" t="n">
        <v>0.375</v>
      </c>
      <c r="AB46" s="28">
        <f>ROUND(T46/MAX(Q46,1),3)</f>
        <v/>
      </c>
      <c r="AC46" s="32" t="inlineStr">
        <is>
          <t>Cost 1,040-&gt;1,000 (-4%); $/serving 8-&gt;11 (+38%)</t>
        </is>
      </c>
      <c r="AD46" s="32" t="inlineStr">
        <is>
          <t>Same dish as EN vanilla; your EN v1.1 numbers copied as-is</t>
        </is>
      </c>
      <c r="AE46" s="32" t="inlineStr"/>
      <c r="AF46" s="32" t="inlineStr"/>
      <c r="AG46" s="32" t="inlineStr"/>
      <c r="AH46" s="28" t="inlineStr">
        <is>
          <t>$1,040 · 120m · 150×$8 · 45xp</t>
        </is>
      </c>
      <c r="AI46" s="28" t="inlineStr">
        <is>
          <t>$1,000 · 120m · 150×$11 · 45xp</t>
        </is>
      </c>
      <c r="AJ46" s="28" t="inlineStr">
        <is>
          <t>1.33 → 5.42</t>
        </is>
      </c>
      <c r="AK46" s="28" t="inlineStr">
        <is>
          <t>ゾンビタルタル</t>
        </is>
      </c>
    </row>
    <row r="47">
      <c r="A47" s="28" t="n">
        <v>44</v>
      </c>
      <c r="B47" s="28" t="inlineStr">
        <is>
          <t>Fileted Minion</t>
        </is>
      </c>
      <c r="C47" s="28" t="n">
        <v>20</v>
      </c>
      <c r="D47" s="28" t="inlineStr">
        <is>
          <t>Level track</t>
        </is>
      </c>
      <c r="E47" s="28" t="inlineStr">
        <is>
          <t>Fileted Minion</t>
        </is>
      </c>
      <c r="F47" s="28" t="inlineStr">
        <is>
          <t>Yes</t>
        </is>
      </c>
      <c r="G47" s="29" t="inlineStr">
        <is>
          <t>Port EN v1.1</t>
        </is>
      </c>
      <c r="H47" s="30">
        <f>IF(W47&gt;0,X47/W47-1,"")</f>
        <v/>
      </c>
      <c r="I47" s="28" t="inlineStr"/>
      <c r="J47" s="28" t="inlineStr"/>
      <c r="K47" s="31" t="n">
        <v>1850</v>
      </c>
      <c r="L47" s="28" t="n">
        <v>720</v>
      </c>
      <c r="M47" s="31" t="n">
        <v>430</v>
      </c>
      <c r="N47" s="28" t="n">
        <v>6</v>
      </c>
      <c r="O47" s="28" t="n">
        <v>110</v>
      </c>
      <c r="P47" s="31" t="n">
        <v>1850</v>
      </c>
      <c r="Q47" s="28" t="n">
        <v>720</v>
      </c>
      <c r="R47" s="31" t="n">
        <v>450</v>
      </c>
      <c r="S47" s="28" t="n">
        <v>6</v>
      </c>
      <c r="T47" s="28" t="n">
        <v>110</v>
      </c>
      <c r="U47" s="31" t="n">
        <v>730</v>
      </c>
      <c r="V47" s="31">
        <f>R47*S47-P47</f>
        <v/>
      </c>
      <c r="W47" s="28" t="n">
        <v>1.01</v>
      </c>
      <c r="X47" s="28">
        <f>ROUND(V47/MAX(Q47,1),2)</f>
        <v/>
      </c>
      <c r="Y47" s="28" t="n">
        <v>0.39</v>
      </c>
      <c r="Z47" s="28">
        <f>IF(P47&gt;0,ROUND(V47/P47,2),"")</f>
        <v/>
      </c>
      <c r="AA47" s="28" t="n">
        <v>0.153</v>
      </c>
      <c r="AB47" s="28">
        <f>ROUND(T47/MAX(Q47,1),3)</f>
        <v/>
      </c>
      <c r="AC47" s="32" t="inlineStr">
        <is>
          <t>Servings 430-&gt;450 (+5%)</t>
        </is>
      </c>
      <c r="AD47" s="32" t="inlineStr">
        <is>
          <t>Same dish as EN vanilla; your EN v1.1 numbers copied as-is</t>
        </is>
      </c>
      <c r="AE47" s="32" t="inlineStr"/>
      <c r="AF47" s="32" t="inlineStr"/>
      <c r="AG47" s="32" t="inlineStr"/>
      <c r="AH47" s="28" t="inlineStr">
        <is>
          <t>$1,850 · 720m · 430×$6 · 110xp</t>
        </is>
      </c>
      <c r="AI47" s="28" t="inlineStr">
        <is>
          <t>$1,850 · 720m · 450×$6 · 110xp</t>
        </is>
      </c>
      <c r="AJ47" s="28" t="inlineStr">
        <is>
          <t>1.01 → 1.18</t>
        </is>
      </c>
      <c r="AK47" s="28" t="inlineStr">
        <is>
          <t>目玉が飛び出すヒレ肉</t>
        </is>
      </c>
    </row>
    <row r="48">
      <c r="A48" s="28" t="n">
        <v>45</v>
      </c>
      <c r="B48" s="28" t="inlineStr">
        <is>
          <t>Muscles Sprouts</t>
        </is>
      </c>
      <c r="C48" s="28" t="n">
        <v>20</v>
      </c>
      <c r="D48" s="28" t="inlineStr">
        <is>
          <t>Raid recipe</t>
        </is>
      </c>
      <c r="E48" s="28" t="inlineStr">
        <is>
          <t>Muscles Sprouts</t>
        </is>
      </c>
      <c r="F48" s="28" t="inlineStr">
        <is>
          <t>Yes</t>
        </is>
      </c>
      <c r="G48" s="29" t="inlineStr">
        <is>
          <t>Port EN v1.1</t>
        </is>
      </c>
      <c r="H48" s="30">
        <f>IF(W48&gt;0,X48/W48-1,"")</f>
        <v/>
      </c>
      <c r="I48" s="28" t="inlineStr"/>
      <c r="J48" s="28" t="inlineStr"/>
      <c r="K48" s="31" t="n">
        <v>750</v>
      </c>
      <c r="L48" s="28" t="n">
        <v>300</v>
      </c>
      <c r="M48" s="31" t="n">
        <v>220</v>
      </c>
      <c r="N48" s="28" t="n">
        <v>5</v>
      </c>
      <c r="O48" s="28" t="n">
        <v>65</v>
      </c>
      <c r="P48" s="31" t="n">
        <v>750</v>
      </c>
      <c r="Q48" s="28" t="n">
        <v>300</v>
      </c>
      <c r="R48" s="31" t="n">
        <v>220</v>
      </c>
      <c r="S48" s="28" t="n">
        <v>10</v>
      </c>
      <c r="T48" s="28" t="n">
        <v>65</v>
      </c>
      <c r="U48" s="31" t="n">
        <v>350</v>
      </c>
      <c r="V48" s="31">
        <f>R48*S48-P48</f>
        <v/>
      </c>
      <c r="W48" s="28" t="n">
        <v>1.17</v>
      </c>
      <c r="X48" s="28">
        <f>ROUND(V48/MAX(Q48,1),2)</f>
        <v/>
      </c>
      <c r="Y48" s="28" t="n">
        <v>0.47</v>
      </c>
      <c r="Z48" s="28">
        <f>IF(P48&gt;0,ROUND(V48/P48,2),"")</f>
        <v/>
      </c>
      <c r="AA48" s="28" t="n">
        <v>0.217</v>
      </c>
      <c r="AB48" s="28">
        <f>ROUND(T48/MAX(Q48,1),3)</f>
        <v/>
      </c>
      <c r="AC48" s="32" t="inlineStr">
        <is>
          <t>$/serving 5-&gt;10 (+100%)</t>
        </is>
      </c>
      <c r="AD48" s="32" t="inlineStr">
        <is>
          <t>Same dish as EN vanilla; your EN v1.1 numbers copied as-is</t>
        </is>
      </c>
      <c r="AE48" s="32" t="inlineStr"/>
      <c r="AF48" s="32" t="inlineStr"/>
      <c r="AG48" s="32" t="inlineStr"/>
      <c r="AH48" s="28" t="inlineStr">
        <is>
          <t>$750 · 300m · 220×$5 · 65xp</t>
        </is>
      </c>
      <c r="AI48" s="28" t="inlineStr">
        <is>
          <t>$750 · 300m · 220×$10 · 65xp</t>
        </is>
      </c>
      <c r="AJ48" s="28" t="inlineStr">
        <is>
          <t>1.17 → 4.83</t>
        </is>
      </c>
      <c r="AK48" s="28" t="inlineStr">
        <is>
          <t>ムチムチな芽キャベツ</t>
        </is>
      </c>
    </row>
    <row r="49">
      <c r="A49" s="28" t="n">
        <v>46</v>
      </c>
      <c r="B49" s="28" t="inlineStr">
        <is>
          <t>Anti Hero Sandwich</t>
        </is>
      </c>
      <c r="C49" s="28" t="n">
        <v>21</v>
      </c>
      <c r="D49" s="28" t="inlineStr">
        <is>
          <t>Raid recipe</t>
        </is>
      </c>
      <c r="E49" s="28" t="inlineStr">
        <is>
          <t>Anti Hero Sandwich</t>
        </is>
      </c>
      <c r="F49" s="28" t="inlineStr">
        <is>
          <t>Yes</t>
        </is>
      </c>
      <c r="G49" s="29" t="inlineStr">
        <is>
          <t>Port EN v1.1</t>
        </is>
      </c>
      <c r="H49" s="30">
        <f>IF(W49&gt;0,X49/W49-1,"")</f>
        <v/>
      </c>
      <c r="I49" s="28" t="inlineStr"/>
      <c r="J49" s="28" t="inlineStr"/>
      <c r="K49" s="31" t="n">
        <v>2500</v>
      </c>
      <c r="L49" s="28" t="n">
        <v>1200</v>
      </c>
      <c r="M49" s="31" t="n">
        <v>360</v>
      </c>
      <c r="N49" s="28" t="n">
        <v>8</v>
      </c>
      <c r="O49" s="28" t="n">
        <v>145</v>
      </c>
      <c r="P49" s="31" t="n">
        <v>2160</v>
      </c>
      <c r="Q49" s="28" t="n">
        <v>1200</v>
      </c>
      <c r="R49" s="31" t="n">
        <v>360</v>
      </c>
      <c r="S49" s="28" t="n">
        <v>11</v>
      </c>
      <c r="T49" s="28" t="n">
        <v>145</v>
      </c>
      <c r="U49" s="31" t="n">
        <v>380</v>
      </c>
      <c r="V49" s="31">
        <f>R49*S49-P49</f>
        <v/>
      </c>
      <c r="W49" s="28" t="n">
        <v>0.32</v>
      </c>
      <c r="X49" s="28">
        <f>ROUND(V49/MAX(Q49,1),2)</f>
        <v/>
      </c>
      <c r="Y49" s="28" t="n">
        <v>0.15</v>
      </c>
      <c r="Z49" s="28">
        <f>IF(P49&gt;0,ROUND(V49/P49,2),"")</f>
        <v/>
      </c>
      <c r="AA49" s="28" t="n">
        <v>0.121</v>
      </c>
      <c r="AB49" s="28">
        <f>ROUND(T49/MAX(Q49,1),3)</f>
        <v/>
      </c>
      <c r="AC49" s="32" t="inlineStr">
        <is>
          <t>Cost 2,500-&gt;2,160 (-14%); $/serving 8-&gt;11 (+38%)</t>
        </is>
      </c>
      <c r="AD49" s="32" t="inlineStr">
        <is>
          <t>Same dish as EN vanilla; your EN v1.1 numbers copied as-is</t>
        </is>
      </c>
      <c r="AE49" s="32" t="inlineStr"/>
      <c r="AF49" s="32" t="inlineStr"/>
      <c r="AG49" s="32" t="inlineStr"/>
      <c r="AH49" s="28" t="inlineStr">
        <is>
          <t>$2,500 · 1200m · 360×$8 · 145xp</t>
        </is>
      </c>
      <c r="AI49" s="28" t="inlineStr">
        <is>
          <t>$2,160 · 1200m · 360×$11 · 145xp</t>
        </is>
      </c>
      <c r="AJ49" s="28" t="inlineStr">
        <is>
          <t>0.32 → 1.50</t>
        </is>
      </c>
      <c r="AK49" s="28" t="inlineStr">
        <is>
          <t>世紀末サンド</t>
        </is>
      </c>
    </row>
    <row r="50">
      <c r="A50" s="28" t="n">
        <v>47</v>
      </c>
      <c r="B50" s="28" t="inlineStr">
        <is>
          <t>Brine Shrimp Cocktail</t>
        </is>
      </c>
      <c r="C50" s="28" t="n">
        <v>22</v>
      </c>
      <c r="D50" s="28" t="inlineStr">
        <is>
          <t>Raid recipe</t>
        </is>
      </c>
      <c r="E50" s="28" t="inlineStr">
        <is>
          <t>Brine Shrimp Cocktail</t>
        </is>
      </c>
      <c r="F50" s="28" t="inlineStr">
        <is>
          <t>Yes</t>
        </is>
      </c>
      <c r="G50" s="33" t="inlineStr">
        <is>
          <t>Port EN v1.1 (no change)</t>
        </is>
      </c>
      <c r="H50" s="30">
        <f>IF(W50&gt;0,X50/W50-1,"")</f>
        <v/>
      </c>
      <c r="I50" s="28" t="inlineStr"/>
      <c r="J50" s="28" t="inlineStr"/>
      <c r="K50" s="31" t="n">
        <v>600</v>
      </c>
      <c r="L50" s="28" t="n">
        <v>60</v>
      </c>
      <c r="M50" s="31" t="n">
        <v>120</v>
      </c>
      <c r="N50" s="28" t="n">
        <v>6</v>
      </c>
      <c r="O50" s="28" t="n">
        <v>40</v>
      </c>
      <c r="P50" s="31" t="n">
        <v>600</v>
      </c>
      <c r="Q50" s="28" t="n">
        <v>60</v>
      </c>
      <c r="R50" s="31" t="n">
        <v>120</v>
      </c>
      <c r="S50" s="28" t="n">
        <v>6</v>
      </c>
      <c r="T50" s="28" t="n">
        <v>40</v>
      </c>
      <c r="U50" s="31" t="n">
        <v>120</v>
      </c>
      <c r="V50" s="31">
        <f>R50*S50-P50</f>
        <v/>
      </c>
      <c r="W50" s="28" t="n">
        <v>2</v>
      </c>
      <c r="X50" s="28">
        <f>ROUND(V50/MAX(Q50,1),2)</f>
        <v/>
      </c>
      <c r="Y50" s="28" t="n">
        <v>0.2</v>
      </c>
      <c r="Z50" s="28">
        <f>IF(P50&gt;0,ROUND(V50/P50,2),"")</f>
        <v/>
      </c>
      <c r="AA50" s="28" t="n">
        <v>0.667</v>
      </c>
      <c r="AB50" s="28">
        <f>ROUND(T50/MAX(Q50,1),3)</f>
        <v/>
      </c>
      <c r="AC50" s="32" t="inlineStr">
        <is>
          <t>—</t>
        </is>
      </c>
      <c r="AD50" s="32" t="inlineStr">
        <is>
          <t>Same dish as EN vanilla; you left it unchanged in EN v1.1</t>
        </is>
      </c>
      <c r="AE50" s="32" t="inlineStr"/>
      <c r="AF50" s="32" t="inlineStr"/>
      <c r="AG50" s="32" t="inlineStr"/>
      <c r="AH50" s="28" t="inlineStr">
        <is>
          <t>$600 · 60m · 120×$6 · 40xp</t>
        </is>
      </c>
      <c r="AI50" s="28" t="inlineStr">
        <is>
          <t>$600 · 60m · 120×$6 · 40xp</t>
        </is>
      </c>
      <c r="AJ50" s="28" t="inlineStr">
        <is>
          <t>2.00 → 2.00</t>
        </is>
      </c>
      <c r="AK50" s="28" t="inlineStr">
        <is>
          <t>キモ海老のカクテル</t>
        </is>
      </c>
    </row>
    <row r="51">
      <c r="A51" s="28" t="n">
        <v>48</v>
      </c>
      <c r="B51" s="28" t="inlineStr">
        <is>
          <t>Tofu Brain</t>
        </is>
      </c>
      <c r="C51" s="28" t="n">
        <v>7</v>
      </c>
      <c r="D51" s="28" t="inlineStr">
        <is>
          <t>Raid recipe</t>
        </is>
      </c>
      <c r="E51" s="28" t="inlineStr">
        <is>
          <t>Tofu Brain</t>
        </is>
      </c>
      <c r="F51" s="28" t="inlineStr">
        <is>
          <t>Yes</t>
        </is>
      </c>
      <c r="G51" s="33" t="inlineStr">
        <is>
          <t>Port EN v1.1 (no change)</t>
        </is>
      </c>
      <c r="H51" s="30">
        <f>IF(W51&gt;0,X51/W51-1,"")</f>
        <v/>
      </c>
      <c r="I51" s="28" t="inlineStr"/>
      <c r="J51" s="28" t="inlineStr"/>
      <c r="K51" s="31" t="n">
        <v>650</v>
      </c>
      <c r="L51" s="28" t="n">
        <v>120</v>
      </c>
      <c r="M51" s="31" t="n">
        <v>200</v>
      </c>
      <c r="N51" s="28" t="n">
        <v>4</v>
      </c>
      <c r="O51" s="28" t="n">
        <v>50</v>
      </c>
      <c r="P51" s="31" t="n">
        <v>650</v>
      </c>
      <c r="Q51" s="28" t="n">
        <v>120</v>
      </c>
      <c r="R51" s="31" t="n">
        <v>200</v>
      </c>
      <c r="S51" s="28" t="n">
        <v>4</v>
      </c>
      <c r="T51" s="28" t="n">
        <v>50</v>
      </c>
      <c r="U51" s="31" t="n">
        <v>150</v>
      </c>
      <c r="V51" s="31">
        <f>R51*S51-P51</f>
        <v/>
      </c>
      <c r="W51" s="28" t="n">
        <v>1.25</v>
      </c>
      <c r="X51" s="28">
        <f>ROUND(V51/MAX(Q51,1),2)</f>
        <v/>
      </c>
      <c r="Y51" s="28" t="n">
        <v>0.23</v>
      </c>
      <c r="Z51" s="28">
        <f>IF(P51&gt;0,ROUND(V51/P51,2),"")</f>
        <v/>
      </c>
      <c r="AA51" s="28" t="n">
        <v>0.417</v>
      </c>
      <c r="AB51" s="28">
        <f>ROUND(T51/MAX(Q51,1),3)</f>
        <v/>
      </c>
      <c r="AC51" s="32" t="inlineStr">
        <is>
          <t>—</t>
        </is>
      </c>
      <c r="AD51" s="32" t="inlineStr">
        <is>
          <t>Same dish as EN vanilla; you left it unchanged in EN v1.1</t>
        </is>
      </c>
      <c r="AE51" s="32" t="inlineStr"/>
      <c r="AF51" s="32" t="inlineStr"/>
      <c r="AG51" s="32" t="inlineStr"/>
      <c r="AH51" s="28" t="inlineStr">
        <is>
          <t>$650 · 120m · 200×$4 · 50xp</t>
        </is>
      </c>
      <c r="AI51" s="28" t="inlineStr">
        <is>
          <t>$650 · 120m · 200×$4 · 50xp</t>
        </is>
      </c>
      <c r="AJ51" s="28" t="inlineStr">
        <is>
          <t>1.25 → 1.25</t>
        </is>
      </c>
      <c r="AK51" s="28" t="inlineStr">
        <is>
          <t>頭の良くなる豆腐</t>
        </is>
      </c>
    </row>
    <row r="52">
      <c r="A52" s="28" t="n">
        <v>49</v>
      </c>
      <c r="B52" s="28" t="inlineStr">
        <is>
          <t>Army Rations</t>
        </is>
      </c>
      <c r="C52" s="28" t="n">
        <v>8</v>
      </c>
      <c r="D52" s="28" t="inlineStr">
        <is>
          <t>Raid recipe</t>
        </is>
      </c>
      <c r="E52" s="28" t="inlineStr">
        <is>
          <t>Army Rations</t>
        </is>
      </c>
      <c r="F52" s="28" t="inlineStr">
        <is>
          <t>Yes</t>
        </is>
      </c>
      <c r="G52" s="29" t="inlineStr">
        <is>
          <t>Port EN v1.1</t>
        </is>
      </c>
      <c r="H52" s="30">
        <f>IF(W52&gt;0,X52/W52-1,"")</f>
        <v/>
      </c>
      <c r="I52" s="28" t="inlineStr"/>
      <c r="J52" s="28" t="inlineStr"/>
      <c r="K52" s="31" t="n">
        <v>290</v>
      </c>
      <c r="L52" s="28" t="n">
        <v>60</v>
      </c>
      <c r="M52" s="31" t="n">
        <v>210</v>
      </c>
      <c r="N52" s="28" t="n">
        <v>2</v>
      </c>
      <c r="O52" s="28" t="n">
        <v>25</v>
      </c>
      <c r="P52" s="31" t="n">
        <v>290</v>
      </c>
      <c r="Q52" s="28" t="n">
        <v>60</v>
      </c>
      <c r="R52" s="31" t="n">
        <v>220</v>
      </c>
      <c r="S52" s="28" t="n">
        <v>2</v>
      </c>
      <c r="T52" s="28" t="n">
        <v>25</v>
      </c>
      <c r="U52" s="31" t="n">
        <v>130</v>
      </c>
      <c r="V52" s="31">
        <f>R52*S52-P52</f>
        <v/>
      </c>
      <c r="W52" s="28" t="n">
        <v>2.17</v>
      </c>
      <c r="X52" s="28">
        <f>ROUND(V52/MAX(Q52,1),2)</f>
        <v/>
      </c>
      <c r="Y52" s="28" t="n">
        <v>0.45</v>
      </c>
      <c r="Z52" s="28">
        <f>IF(P52&gt;0,ROUND(V52/P52,2),"")</f>
        <v/>
      </c>
      <c r="AA52" s="28" t="n">
        <v>0.417</v>
      </c>
      <c r="AB52" s="28">
        <f>ROUND(T52/MAX(Q52,1),3)</f>
        <v/>
      </c>
      <c r="AC52" s="32" t="inlineStr">
        <is>
          <t>Servings 210-&gt;220 (+5%)</t>
        </is>
      </c>
      <c r="AD52" s="32" t="inlineStr">
        <is>
          <t>Same dish as EN vanilla; your EN v1.1 numbers copied as-is</t>
        </is>
      </c>
      <c r="AE52" s="32" t="inlineStr"/>
      <c r="AF52" s="32" t="inlineStr"/>
      <c r="AG52" s="32" t="inlineStr"/>
      <c r="AH52" s="28" t="inlineStr">
        <is>
          <t>$290 · 60m · 210×$2 · 25xp</t>
        </is>
      </c>
      <c r="AI52" s="28" t="inlineStr">
        <is>
          <t>$290 · 60m · 220×$2 · 25xp</t>
        </is>
      </c>
      <c r="AJ52" s="28" t="inlineStr">
        <is>
          <t>2.17 → 2.50</t>
        </is>
      </c>
      <c r="AK52" s="28" t="inlineStr">
        <is>
          <t>軍用ゾンビ弁当</t>
        </is>
      </c>
    </row>
    <row r="53">
      <c r="A53" s="28" t="n">
        <v>50</v>
      </c>
      <c r="B53" s="28" t="inlineStr">
        <is>
          <t>Rot Dogs</t>
        </is>
      </c>
      <c r="C53" s="28" t="n">
        <v>6</v>
      </c>
      <c r="D53" s="28" t="inlineStr">
        <is>
          <t>Raid recipe</t>
        </is>
      </c>
      <c r="E53" s="28" t="inlineStr">
        <is>
          <t>Rot Dogs</t>
        </is>
      </c>
      <c r="F53" s="28" t="inlineStr">
        <is>
          <t>Yes</t>
        </is>
      </c>
      <c r="G53" s="29" t="inlineStr">
        <is>
          <t>Port EN v1.1</t>
        </is>
      </c>
      <c r="H53" s="30">
        <f>IF(W53&gt;0,X53/W53-1,"")</f>
        <v/>
      </c>
      <c r="I53" s="28" t="inlineStr"/>
      <c r="J53" s="28" t="inlineStr"/>
      <c r="K53" s="31" t="n">
        <v>250</v>
      </c>
      <c r="L53" s="28" t="n">
        <v>45</v>
      </c>
      <c r="M53" s="31" t="n">
        <v>165</v>
      </c>
      <c r="N53" s="28" t="n">
        <v>2</v>
      </c>
      <c r="O53" s="28" t="n">
        <v>14</v>
      </c>
      <c r="P53" s="31" t="n">
        <v>220</v>
      </c>
      <c r="Q53" s="28" t="n">
        <v>45</v>
      </c>
      <c r="R53" s="31" t="n">
        <v>165</v>
      </c>
      <c r="S53" s="28" t="n">
        <v>2</v>
      </c>
      <c r="T53" s="28" t="n">
        <v>14</v>
      </c>
      <c r="U53" s="31" t="n">
        <v>80</v>
      </c>
      <c r="V53" s="31">
        <f>R53*S53-P53</f>
        <v/>
      </c>
      <c r="W53" s="28" t="n">
        <v>1.78</v>
      </c>
      <c r="X53" s="28">
        <f>ROUND(V53/MAX(Q53,1),2)</f>
        <v/>
      </c>
      <c r="Y53" s="28" t="n">
        <v>0.32</v>
      </c>
      <c r="Z53" s="28">
        <f>IF(P53&gt;0,ROUND(V53/P53,2),"")</f>
        <v/>
      </c>
      <c r="AA53" s="28" t="n">
        <v>0.311</v>
      </c>
      <c r="AB53" s="28">
        <f>ROUND(T53/MAX(Q53,1),3)</f>
        <v/>
      </c>
      <c r="AC53" s="32" t="inlineStr">
        <is>
          <t>Cost 250-&gt;220 (-12%)</t>
        </is>
      </c>
      <c r="AD53" s="32" t="inlineStr">
        <is>
          <t>Same dish as EN vanilla; your EN v1.1 numbers copied as-is</t>
        </is>
      </c>
      <c r="AE53" s="32" t="inlineStr"/>
      <c r="AF53" s="32" t="inlineStr"/>
      <c r="AG53" s="32" t="inlineStr"/>
      <c r="AH53" s="28" t="inlineStr">
        <is>
          <t>$250 · 45m · 165×$2 · 14xp</t>
        </is>
      </c>
      <c r="AI53" s="28" t="inlineStr">
        <is>
          <t>$220 · 45m · 165×$2 · 14xp</t>
        </is>
      </c>
      <c r="AJ53" s="28" t="inlineStr">
        <is>
          <t>1.78 → 2.44</t>
        </is>
      </c>
      <c r="AK53" s="28" t="inlineStr">
        <is>
          <t>ゾンビドッグ</t>
        </is>
      </c>
    </row>
    <row r="54">
      <c r="A54" s="28" t="n">
        <v>51</v>
      </c>
      <c r="B54" s="28" t="inlineStr">
        <is>
          <t>Keblobs</t>
        </is>
      </c>
      <c r="C54" s="28" t="n">
        <v>9</v>
      </c>
      <c r="D54" s="28" t="inlineStr">
        <is>
          <t>Raid recipe</t>
        </is>
      </c>
      <c r="E54" s="28" t="inlineStr">
        <is>
          <t>Keblobs</t>
        </is>
      </c>
      <c r="F54" s="28" t="inlineStr">
        <is>
          <t>Yes</t>
        </is>
      </c>
      <c r="G54" s="29" t="inlineStr">
        <is>
          <t>Port EN v1.1</t>
        </is>
      </c>
      <c r="H54" s="30">
        <f>IF(W54&gt;0,X54/W54-1,"")</f>
        <v/>
      </c>
      <c r="I54" s="28" t="inlineStr"/>
      <c r="J54" s="28" t="inlineStr"/>
      <c r="K54" s="31" t="n">
        <v>400</v>
      </c>
      <c r="L54" s="28" t="n">
        <v>480</v>
      </c>
      <c r="M54" s="31" t="n">
        <v>300</v>
      </c>
      <c r="N54" s="28" t="n">
        <v>3</v>
      </c>
      <c r="O54" s="28" t="n">
        <v>75</v>
      </c>
      <c r="P54" s="31" t="n">
        <v>400</v>
      </c>
      <c r="Q54" s="28" t="n">
        <v>480</v>
      </c>
      <c r="R54" s="31" t="n">
        <v>325</v>
      </c>
      <c r="S54" s="28" t="n">
        <v>3</v>
      </c>
      <c r="T54" s="28" t="n">
        <v>75</v>
      </c>
      <c r="U54" s="31" t="n">
        <v>500</v>
      </c>
      <c r="V54" s="31">
        <f>R54*S54-P54</f>
        <v/>
      </c>
      <c r="W54" s="28" t="n">
        <v>1.04</v>
      </c>
      <c r="X54" s="28">
        <f>ROUND(V54/MAX(Q54,1),2)</f>
        <v/>
      </c>
      <c r="Y54" s="28" t="n">
        <v>1.25</v>
      </c>
      <c r="Z54" s="28">
        <f>IF(P54&gt;0,ROUND(V54/P54,2),"")</f>
        <v/>
      </c>
      <c r="AA54" s="28" t="n">
        <v>0.156</v>
      </c>
      <c r="AB54" s="28">
        <f>ROUND(T54/MAX(Q54,1),3)</f>
        <v/>
      </c>
      <c r="AC54" s="32" t="inlineStr">
        <is>
          <t>Servings 300-&gt;325 (+8%)</t>
        </is>
      </c>
      <c r="AD54" s="32" t="inlineStr">
        <is>
          <t>Same dish as EN vanilla; your EN v1.1 numbers copied as-is</t>
        </is>
      </c>
      <c r="AE54" s="32" t="inlineStr"/>
      <c r="AF54" s="32" t="inlineStr"/>
      <c r="AG54" s="32" t="inlineStr"/>
      <c r="AH54" s="28" t="inlineStr">
        <is>
          <t>$400 · 480m · 300×$3 · 75xp</t>
        </is>
      </c>
      <c r="AI54" s="28" t="inlineStr">
        <is>
          <t>$400 · 480m · 325×$3 · 75xp</t>
        </is>
      </c>
      <c r="AJ54" s="28" t="inlineStr">
        <is>
          <t>1.04 → 1.20</t>
        </is>
      </c>
      <c r="AK54" s="28" t="inlineStr">
        <is>
          <t>ゾンビケバブ</t>
        </is>
      </c>
    </row>
    <row r="55">
      <c r="A55" s="28" t="n">
        <v>52</v>
      </c>
      <c r="B55" s="28" t="inlineStr">
        <is>
          <t>Street Pizza</t>
        </is>
      </c>
      <c r="C55" s="28" t="n">
        <v>8</v>
      </c>
      <c r="D55" s="28" t="inlineStr">
        <is>
          <t>Raid recipe (also sold)</t>
        </is>
      </c>
      <c r="E55" s="28" t="inlineStr">
        <is>
          <t>Street Pizza</t>
        </is>
      </c>
      <c r="F55" s="28" t="inlineStr">
        <is>
          <t>Yes</t>
        </is>
      </c>
      <c r="G55" s="29" t="inlineStr">
        <is>
          <t>Port EN v1.1</t>
        </is>
      </c>
      <c r="H55" s="30">
        <f>IF(W55&gt;0,X55/W55-1,"")</f>
        <v/>
      </c>
      <c r="I55" s="28" t="inlineStr"/>
      <c r="J55" s="28" t="inlineStr"/>
      <c r="K55" s="31" t="n">
        <v>340</v>
      </c>
      <c r="L55" s="28" t="n">
        <v>240</v>
      </c>
      <c r="M55" s="31" t="n">
        <v>350</v>
      </c>
      <c r="N55" s="28" t="n">
        <v>2</v>
      </c>
      <c r="O55" s="28" t="n">
        <v>40</v>
      </c>
      <c r="P55" s="31" t="n">
        <v>100</v>
      </c>
      <c r="Q55" s="28" t="n">
        <v>240</v>
      </c>
      <c r="R55" s="31" t="n">
        <v>400</v>
      </c>
      <c r="S55" s="28" t="n">
        <v>2</v>
      </c>
      <c r="T55" s="28" t="n">
        <v>40</v>
      </c>
      <c r="U55" s="31" t="n">
        <v>360</v>
      </c>
      <c r="V55" s="31">
        <f>R55*S55-P55</f>
        <v/>
      </c>
      <c r="W55" s="28" t="n">
        <v>1.5</v>
      </c>
      <c r="X55" s="28">
        <f>ROUND(V55/MAX(Q55,1),2)</f>
        <v/>
      </c>
      <c r="Y55" s="28" t="n">
        <v>1.06</v>
      </c>
      <c r="Z55" s="28">
        <f>IF(P55&gt;0,ROUND(V55/P55,2),"")</f>
        <v/>
      </c>
      <c r="AA55" s="28" t="n">
        <v>0.167</v>
      </c>
      <c r="AB55" s="28">
        <f>ROUND(T55/MAX(Q55,1),3)</f>
        <v/>
      </c>
      <c r="AC55" s="32" t="inlineStr">
        <is>
          <t>Cost 340-&gt;100 (-71%); Servings 350-&gt;400 (+14%)</t>
        </is>
      </c>
      <c r="AD55" s="32" t="inlineStr">
        <is>
          <t>Same dish as EN vanilla; your EN v1.1 numbers copied as-is</t>
        </is>
      </c>
      <c r="AE55" s="32" t="inlineStr"/>
      <c r="AF55" s="32" t="inlineStr"/>
      <c r="AG55" s="32" t="inlineStr"/>
      <c r="AH55" s="28" t="inlineStr">
        <is>
          <t>$340 · 240m · 350×$2 · 40xp</t>
        </is>
      </c>
      <c r="AI55" s="28" t="inlineStr">
        <is>
          <t>$100 · 240m · 400×$2 · 40xp</t>
        </is>
      </c>
      <c r="AJ55" s="28" t="inlineStr">
        <is>
          <t>1.50 → 2.92</t>
        </is>
      </c>
      <c r="AK55" s="28" t="inlineStr">
        <is>
          <t>裏通りのピザ</t>
        </is>
      </c>
    </row>
    <row r="56">
      <c r="A56" s="28" t="n">
        <v>53</v>
      </c>
      <c r="B56" s="28" t="inlineStr">
        <is>
          <t>Jam on Toes</t>
        </is>
      </c>
      <c r="C56" s="28" t="n">
        <v>5</v>
      </c>
      <c r="D56" s="28" t="inlineStr">
        <is>
          <t>Special</t>
        </is>
      </c>
      <c r="E56" s="28" t="inlineStr">
        <is>
          <t>Jam on Toes</t>
        </is>
      </c>
      <c r="F56" s="28" t="inlineStr">
        <is>
          <t>Yes</t>
        </is>
      </c>
      <c r="G56" s="29" t="inlineStr">
        <is>
          <t>Port EN v1.1</t>
        </is>
      </c>
      <c r="H56" s="30">
        <f>IF(W56&gt;0,X56/W56-1,"")</f>
        <v/>
      </c>
      <c r="I56" s="28" t="inlineStr"/>
      <c r="J56" s="28" t="inlineStr"/>
      <c r="K56" s="31" t="n">
        <v>260</v>
      </c>
      <c r="L56" s="28" t="n">
        <v>300</v>
      </c>
      <c r="M56" s="31" t="n">
        <v>340</v>
      </c>
      <c r="N56" s="28" t="n">
        <v>2</v>
      </c>
      <c r="O56" s="28" t="n">
        <v>90</v>
      </c>
      <c r="P56" s="31" t="n">
        <v>95</v>
      </c>
      <c r="Q56" s="28" t="n">
        <v>300</v>
      </c>
      <c r="R56" s="31" t="n">
        <v>340</v>
      </c>
      <c r="S56" s="28" t="n">
        <v>2</v>
      </c>
      <c r="T56" s="28" t="n">
        <v>90</v>
      </c>
      <c r="U56" s="31" t="n">
        <v>420</v>
      </c>
      <c r="V56" s="31">
        <f>R56*S56-P56</f>
        <v/>
      </c>
      <c r="W56" s="28" t="n">
        <v>1.4</v>
      </c>
      <c r="X56" s="28">
        <f>ROUND(V56/MAX(Q56,1),2)</f>
        <v/>
      </c>
      <c r="Y56" s="28" t="n">
        <v>1.62</v>
      </c>
      <c r="Z56" s="28">
        <f>IF(P56&gt;0,ROUND(V56/P56,2),"")</f>
        <v/>
      </c>
      <c r="AA56" s="28" t="n">
        <v>0.3</v>
      </c>
      <c r="AB56" s="28">
        <f>ROUND(T56/MAX(Q56,1),3)</f>
        <v/>
      </c>
      <c r="AC56" s="32" t="inlineStr">
        <is>
          <t>Cost 260-&gt;95 (-63%)</t>
        </is>
      </c>
      <c r="AD56" s="32" t="inlineStr">
        <is>
          <t>Same dish as EN vanilla; your EN v1.1 numbers copied as-is</t>
        </is>
      </c>
      <c r="AE56" s="32" t="inlineStr"/>
      <c r="AF56" s="32" t="inlineStr"/>
      <c r="AG56" s="32" t="inlineStr"/>
      <c r="AH56" s="28" t="inlineStr">
        <is>
          <t>$260 · 300m · 340×$2 · 90xp</t>
        </is>
      </c>
      <c r="AI56" s="28" t="inlineStr">
        <is>
          <t>$95 · 300m · 340×$2 · 90xp</t>
        </is>
      </c>
      <c r="AJ56" s="28" t="inlineStr">
        <is>
          <t>1.40 → 1.95</t>
        </is>
      </c>
      <c r="AK56" s="28" t="inlineStr">
        <is>
          <t>足の指のアラカルト</t>
        </is>
      </c>
    </row>
    <row r="57">
      <c r="A57" s="28" t="n">
        <v>54</v>
      </c>
      <c r="B57" s="28" t="inlineStr">
        <is>
          <t>Net Prawn</t>
        </is>
      </c>
      <c r="C57" s="28" t="n">
        <v>24</v>
      </c>
      <c r="D57" s="28" t="inlineStr">
        <is>
          <t>Level track</t>
        </is>
      </c>
      <c r="E57" s="28" t="inlineStr">
        <is>
          <t>Net Prawn</t>
        </is>
      </c>
      <c r="F57" s="28" t="inlineStr">
        <is>
          <t>Yes</t>
        </is>
      </c>
      <c r="G57" s="29" t="inlineStr">
        <is>
          <t>Port EN v1.1</t>
        </is>
      </c>
      <c r="H57" s="30">
        <f>IF(W57&gt;0,X57/W57-1,"")</f>
        <v/>
      </c>
      <c r="I57" s="28" t="inlineStr"/>
      <c r="J57" s="28" t="inlineStr"/>
      <c r="K57" s="31" t="n">
        <v>1100</v>
      </c>
      <c r="L57" s="28" t="n">
        <v>180</v>
      </c>
      <c r="M57" s="31" t="n">
        <v>250</v>
      </c>
      <c r="N57" s="28" t="n">
        <v>6</v>
      </c>
      <c r="O57" s="28" t="n">
        <v>60</v>
      </c>
      <c r="P57" s="31" t="n">
        <v>790</v>
      </c>
      <c r="Q57" s="28" t="n">
        <v>180</v>
      </c>
      <c r="R57" s="31" t="n">
        <v>250</v>
      </c>
      <c r="S57" s="28" t="n">
        <v>6</v>
      </c>
      <c r="T57" s="28" t="n">
        <v>60</v>
      </c>
      <c r="U57" s="31" t="n">
        <v>400</v>
      </c>
      <c r="V57" s="31">
        <f>R57*S57-P57</f>
        <v/>
      </c>
      <c r="W57" s="28" t="n">
        <v>2.22</v>
      </c>
      <c r="X57" s="28">
        <f>ROUND(V57/MAX(Q57,1),2)</f>
        <v/>
      </c>
      <c r="Y57" s="28" t="n">
        <v>0.36</v>
      </c>
      <c r="Z57" s="28">
        <f>IF(P57&gt;0,ROUND(V57/P57,2),"")</f>
        <v/>
      </c>
      <c r="AA57" s="28" t="n">
        <v>0.333</v>
      </c>
      <c r="AB57" s="28">
        <f>ROUND(T57/MAX(Q57,1),3)</f>
        <v/>
      </c>
      <c r="AC57" s="32" t="inlineStr">
        <is>
          <t>Cost 1,100-&gt;790 (-28%)</t>
        </is>
      </c>
      <c r="AD57" s="32" t="inlineStr">
        <is>
          <t>Same dish as EN vanilla; your EN v1.1 numbers copied as-is</t>
        </is>
      </c>
      <c r="AE57" s="32" t="inlineStr"/>
      <c r="AF57" s="32" t="inlineStr"/>
      <c r="AG57" s="32" t="inlineStr"/>
      <c r="AH57" s="28" t="inlineStr">
        <is>
          <t>$1,100 · 180m · 250×$6 · 60xp</t>
        </is>
      </c>
      <c r="AI57" s="28" t="inlineStr">
        <is>
          <t>$790 · 180m · 250×$6 · 60xp</t>
        </is>
      </c>
      <c r="AJ57" s="28" t="inlineStr">
        <is>
          <t>2.22 → 3.94</t>
        </is>
      </c>
      <c r="AK57" s="28" t="inlineStr">
        <is>
          <t>車海老の地引き網添え</t>
        </is>
      </c>
    </row>
    <row r="58">
      <c r="A58" s="28" t="n">
        <v>55</v>
      </c>
      <c r="B58" s="28" t="inlineStr">
        <is>
          <t>Haggis</t>
        </is>
      </c>
      <c r="C58" s="28" t="n">
        <v>5</v>
      </c>
      <c r="D58" s="28" t="inlineStr">
        <is>
          <t>Raid recipe (also sold)</t>
        </is>
      </c>
      <c r="E58" s="28" t="inlineStr">
        <is>
          <t>Haggis</t>
        </is>
      </c>
      <c r="F58" s="28" t="inlineStr">
        <is>
          <t>Yes</t>
        </is>
      </c>
      <c r="G58" s="29" t="inlineStr">
        <is>
          <t>Port EN v1.1</t>
        </is>
      </c>
      <c r="H58" s="30">
        <f>IF(W58&gt;0,X58/W58-1,"")</f>
        <v/>
      </c>
      <c r="I58" s="28" t="inlineStr"/>
      <c r="J58" s="28" t="inlineStr"/>
      <c r="K58" s="31" t="n">
        <v>250</v>
      </c>
      <c r="L58" s="28" t="n">
        <v>120</v>
      </c>
      <c r="M58" s="31" t="n">
        <v>260</v>
      </c>
      <c r="N58" s="28" t="n">
        <v>2</v>
      </c>
      <c r="O58" s="28" t="n">
        <v>50</v>
      </c>
      <c r="P58" s="31" t="n">
        <v>250</v>
      </c>
      <c r="Q58" s="28" t="n">
        <v>120</v>
      </c>
      <c r="R58" s="31" t="n">
        <v>275</v>
      </c>
      <c r="S58" s="28" t="n">
        <v>2</v>
      </c>
      <c r="T58" s="28" t="n">
        <v>50</v>
      </c>
      <c r="U58" s="31" t="n">
        <v>270</v>
      </c>
      <c r="V58" s="31">
        <f>R58*S58-P58</f>
        <v/>
      </c>
      <c r="W58" s="28" t="n">
        <v>2.25</v>
      </c>
      <c r="X58" s="28">
        <f>ROUND(V58/MAX(Q58,1),2)</f>
        <v/>
      </c>
      <c r="Y58" s="28" t="n">
        <v>1.08</v>
      </c>
      <c r="Z58" s="28">
        <f>IF(P58&gt;0,ROUND(V58/P58,2),"")</f>
        <v/>
      </c>
      <c r="AA58" s="28" t="n">
        <v>0.417</v>
      </c>
      <c r="AB58" s="28">
        <f>ROUND(T58/MAX(Q58,1),3)</f>
        <v/>
      </c>
      <c r="AC58" s="32" t="inlineStr">
        <is>
          <t>Servings 260-&gt;275 (+6%)</t>
        </is>
      </c>
      <c r="AD58" s="32" t="inlineStr">
        <is>
          <t>Same dish as EN vanilla; your EN v1.1 numbers copied as-is</t>
        </is>
      </c>
      <c r="AE58" s="32" t="inlineStr"/>
      <c r="AF58" s="32" t="inlineStr"/>
      <c r="AG58" s="32" t="inlineStr"/>
      <c r="AH58" s="28" t="inlineStr">
        <is>
          <t>$250 · 120m · 260×$2 · 50xp</t>
        </is>
      </c>
      <c r="AI58" s="28" t="inlineStr">
        <is>
          <t>$250 · 120m · 275×$2 · 50xp</t>
        </is>
      </c>
      <c r="AJ58" s="28" t="inlineStr">
        <is>
          <t>2.25 → 2.50</t>
        </is>
      </c>
      <c r="AK58" s="28" t="inlineStr">
        <is>
          <t>ゾンビ餃子</t>
        </is>
      </c>
    </row>
    <row r="59">
      <c r="A59" s="28" t="n">
        <v>56</v>
      </c>
      <c r="B59" s="28" t="inlineStr">
        <is>
          <t>Mice Pudding</t>
        </is>
      </c>
      <c r="C59" s="28" t="n">
        <v>25</v>
      </c>
      <c r="D59" s="28" t="inlineStr">
        <is>
          <t>Level track</t>
        </is>
      </c>
      <c r="E59" s="28" t="inlineStr">
        <is>
          <t>Mice Pudding</t>
        </is>
      </c>
      <c r="F59" s="28" t="inlineStr">
        <is>
          <t>Yes</t>
        </is>
      </c>
      <c r="G59" s="33" t="inlineStr">
        <is>
          <t>Port EN v1.1 (no change)</t>
        </is>
      </c>
      <c r="H59" s="30">
        <f>IF(W59&gt;0,X59/W59-1,"")</f>
        <v/>
      </c>
      <c r="I59" s="28" t="inlineStr"/>
      <c r="J59" s="28" t="inlineStr"/>
      <c r="K59" s="31" t="n">
        <v>220</v>
      </c>
      <c r="L59" s="28" t="n">
        <v>15</v>
      </c>
      <c r="M59" s="31" t="n">
        <v>150</v>
      </c>
      <c r="N59" s="28" t="n">
        <v>6</v>
      </c>
      <c r="O59" s="28" t="n">
        <v>15</v>
      </c>
      <c r="P59" s="31" t="n">
        <v>220</v>
      </c>
      <c r="Q59" s="28" t="n">
        <v>15</v>
      </c>
      <c r="R59" s="31" t="n">
        <v>150</v>
      </c>
      <c r="S59" s="28" t="n">
        <v>6</v>
      </c>
      <c r="T59" s="28" t="n">
        <v>15</v>
      </c>
      <c r="U59" s="31" t="n">
        <v>680</v>
      </c>
      <c r="V59" s="31">
        <f>R59*S59-P59</f>
        <v/>
      </c>
      <c r="W59" s="28" t="n">
        <v>45.33</v>
      </c>
      <c r="X59" s="28">
        <f>ROUND(V59/MAX(Q59,1),2)</f>
        <v/>
      </c>
      <c r="Y59" s="28" t="n">
        <v>3.09</v>
      </c>
      <c r="Z59" s="28">
        <f>IF(P59&gt;0,ROUND(V59/P59,2),"")</f>
        <v/>
      </c>
      <c r="AA59" s="28" t="n">
        <v>1</v>
      </c>
      <c r="AB59" s="28">
        <f>ROUND(T59/MAX(Q59,1),3)</f>
        <v/>
      </c>
      <c r="AC59" s="32" t="inlineStr">
        <is>
          <t>—</t>
        </is>
      </c>
      <c r="AD59" s="32" t="inlineStr">
        <is>
          <t>Same dish as EN vanilla; you left it unchanged in EN v1.1</t>
        </is>
      </c>
      <c r="AE59" s="32" t="inlineStr"/>
      <c r="AF59" s="32" t="inlineStr"/>
      <c r="AG59" s="32" t="inlineStr">
        <is>
          <t>Quick-cash dish already (45.3 $/min)</t>
        </is>
      </c>
      <c r="AH59" s="28" t="inlineStr">
        <is>
          <t>$220 · 15m · 150×$6 · 15xp</t>
        </is>
      </c>
      <c r="AI59" s="28" t="inlineStr">
        <is>
          <t>$220 · 15m · 150×$6 · 15xp</t>
        </is>
      </c>
      <c r="AJ59" s="28" t="inlineStr">
        <is>
          <t>45.33 → 45.33</t>
        </is>
      </c>
      <c r="AK59" s="28" t="inlineStr">
        <is>
          <t>ネズミプリン</t>
        </is>
      </c>
    </row>
    <row r="60">
      <c r="A60" s="28" t="n">
        <v>57</v>
      </c>
      <c r="B60" s="28" t="inlineStr">
        <is>
          <t>Sandwitch</t>
        </is>
      </c>
      <c r="C60" s="28" t="n">
        <v>26</v>
      </c>
      <c r="D60" s="28" t="inlineStr">
        <is>
          <t>Level track</t>
        </is>
      </c>
      <c r="E60" s="28" t="inlineStr">
        <is>
          <t>Sandwitch</t>
        </is>
      </c>
      <c r="F60" s="28" t="inlineStr">
        <is>
          <t>Yes</t>
        </is>
      </c>
      <c r="G60" s="33" t="inlineStr">
        <is>
          <t>Port EN v1.1 (no change)</t>
        </is>
      </c>
      <c r="H60" s="30">
        <f>IF(W60&gt;0,X60/W60-1,"")</f>
        <v/>
      </c>
      <c r="I60" s="28" t="inlineStr"/>
      <c r="J60" s="28" t="inlineStr"/>
      <c r="K60" s="31" t="n">
        <v>420</v>
      </c>
      <c r="L60" s="28" t="n">
        <v>60</v>
      </c>
      <c r="M60" s="31" t="n">
        <v>280</v>
      </c>
      <c r="N60" s="28" t="n">
        <v>3</v>
      </c>
      <c r="O60" s="28" t="n">
        <v>35</v>
      </c>
      <c r="P60" s="31" t="n">
        <v>420</v>
      </c>
      <c r="Q60" s="28" t="n">
        <v>60</v>
      </c>
      <c r="R60" s="31" t="n">
        <v>280</v>
      </c>
      <c r="S60" s="28" t="n">
        <v>3</v>
      </c>
      <c r="T60" s="28" t="n">
        <v>35</v>
      </c>
      <c r="U60" s="31" t="n">
        <v>420</v>
      </c>
      <c r="V60" s="31">
        <f>R60*S60-P60</f>
        <v/>
      </c>
      <c r="W60" s="28" t="n">
        <v>7</v>
      </c>
      <c r="X60" s="28">
        <f>ROUND(V60/MAX(Q60,1),2)</f>
        <v/>
      </c>
      <c r="Y60" s="28" t="n">
        <v>1</v>
      </c>
      <c r="Z60" s="28">
        <f>IF(P60&gt;0,ROUND(V60/P60,2),"")</f>
        <v/>
      </c>
      <c r="AA60" s="28" t="n">
        <v>0.583</v>
      </c>
      <c r="AB60" s="28">
        <f>ROUND(T60/MAX(Q60,1),3)</f>
        <v/>
      </c>
      <c r="AC60" s="32" t="inlineStr">
        <is>
          <t>—</t>
        </is>
      </c>
      <c r="AD60" s="32" t="inlineStr">
        <is>
          <t>Same dish as EN vanilla; you left it unchanged in EN v1.1</t>
        </is>
      </c>
      <c r="AE60" s="32" t="inlineStr"/>
      <c r="AF60" s="32" t="inlineStr"/>
      <c r="AG60" s="32" t="inlineStr">
        <is>
          <t>Quick-cash dish already (7.0 $/min)</t>
        </is>
      </c>
      <c r="AH60" s="28" t="inlineStr">
        <is>
          <t>$420 · 60m · 280×$3 · 35xp</t>
        </is>
      </c>
      <c r="AI60" s="28" t="inlineStr">
        <is>
          <t>$420 · 60m · 280×$3 · 35xp</t>
        </is>
      </c>
      <c r="AJ60" s="28" t="inlineStr">
        <is>
          <t>7.00 → 7.00</t>
        </is>
      </c>
      <c r="AK60" s="28" t="inlineStr">
        <is>
          <t>サンド・ウィッチ</t>
        </is>
      </c>
    </row>
    <row r="61">
      <c r="A61" s="28" t="n">
        <v>58</v>
      </c>
      <c r="B61" s="28" t="inlineStr">
        <is>
          <t>Caramel Adam's Apple</t>
        </is>
      </c>
      <c r="C61" s="28" t="n">
        <v>5</v>
      </c>
      <c r="D61" s="28" t="inlineStr">
        <is>
          <t>Raid recipe (also sold)</t>
        </is>
      </c>
      <c r="E61" s="28" t="inlineStr">
        <is>
          <t>Caramel Adam's Apple</t>
        </is>
      </c>
      <c r="F61" s="28" t="inlineStr">
        <is>
          <t>Yes</t>
        </is>
      </c>
      <c r="G61" s="33" t="inlineStr">
        <is>
          <t>Port EN v1.1 (no change)</t>
        </is>
      </c>
      <c r="H61" s="30">
        <f>IF(W61&gt;0,X61/W61-1,"")</f>
        <v/>
      </c>
      <c r="I61" s="28" t="inlineStr"/>
      <c r="J61" s="28" t="inlineStr"/>
      <c r="K61" s="31" t="n">
        <v>275</v>
      </c>
      <c r="L61" s="28" t="n">
        <v>60</v>
      </c>
      <c r="M61" s="31" t="n">
        <v>260</v>
      </c>
      <c r="N61" s="28" t="n">
        <v>3</v>
      </c>
      <c r="O61" s="28" t="n">
        <v>50</v>
      </c>
      <c r="P61" s="31" t="n">
        <v>275</v>
      </c>
      <c r="Q61" s="28" t="n">
        <v>60</v>
      </c>
      <c r="R61" s="31" t="n">
        <v>260</v>
      </c>
      <c r="S61" s="28" t="n">
        <v>3</v>
      </c>
      <c r="T61" s="28" t="n">
        <v>50</v>
      </c>
      <c r="U61" s="31" t="n">
        <v>505</v>
      </c>
      <c r="V61" s="31">
        <f>R61*S61-P61</f>
        <v/>
      </c>
      <c r="W61" s="28" t="n">
        <v>8.42</v>
      </c>
      <c r="X61" s="28">
        <f>ROUND(V61/MAX(Q61,1),2)</f>
        <v/>
      </c>
      <c r="Y61" s="28" t="n">
        <v>1.84</v>
      </c>
      <c r="Z61" s="28">
        <f>IF(P61&gt;0,ROUND(V61/P61,2),"")</f>
        <v/>
      </c>
      <c r="AA61" s="28" t="n">
        <v>0.833</v>
      </c>
      <c r="AB61" s="28">
        <f>ROUND(T61/MAX(Q61,1),3)</f>
        <v/>
      </c>
      <c r="AC61" s="32" t="inlineStr">
        <is>
          <t>—</t>
        </is>
      </c>
      <c r="AD61" s="32" t="inlineStr">
        <is>
          <t>Same dish as EN vanilla; you left it unchanged in EN v1.1</t>
        </is>
      </c>
      <c r="AE61" s="32" t="inlineStr"/>
      <c r="AF61" s="32" t="inlineStr"/>
      <c r="AG61" s="32" t="inlineStr">
        <is>
          <t>Quick-cash dish already (8.4 $/min)</t>
        </is>
      </c>
      <c r="AH61" s="28" t="inlineStr">
        <is>
          <t>$275 · 60m · 260×$3 · 50xp</t>
        </is>
      </c>
      <c r="AI61" s="28" t="inlineStr">
        <is>
          <t>$275 · 60m · 260×$3 · 50xp</t>
        </is>
      </c>
      <c r="AJ61" s="28" t="inlineStr">
        <is>
          <t>8.42 → 8.42</t>
        </is>
      </c>
      <c r="AK61" s="28" t="inlineStr">
        <is>
          <t>アダムの毒リンゴ飴</t>
        </is>
      </c>
    </row>
    <row r="62">
      <c r="A62" s="28" t="n">
        <v>59</v>
      </c>
      <c r="B62" s="28" t="inlineStr">
        <is>
          <t>Roast Turk-key</t>
        </is>
      </c>
      <c r="C62" s="28" t="n">
        <v>12</v>
      </c>
      <c r="D62" s="28" t="inlineStr">
        <is>
          <t>Raid recipe</t>
        </is>
      </c>
      <c r="E62" s="28" t="inlineStr">
        <is>
          <t>Roast Turk-key</t>
        </is>
      </c>
      <c r="F62" s="28" t="inlineStr">
        <is>
          <t>Yes</t>
        </is>
      </c>
      <c r="G62" s="29" t="inlineStr">
        <is>
          <t>Port EN v1.1</t>
        </is>
      </c>
      <c r="H62" s="30">
        <f>IF(W62&gt;0,X62/W62-1,"")</f>
        <v/>
      </c>
      <c r="I62" s="28" t="inlineStr"/>
      <c r="J62" s="28" t="inlineStr"/>
      <c r="K62" s="31" t="n">
        <v>410</v>
      </c>
      <c r="L62" s="28" t="n">
        <v>240</v>
      </c>
      <c r="M62" s="31" t="n">
        <v>415</v>
      </c>
      <c r="N62" s="28" t="n">
        <v>2</v>
      </c>
      <c r="O62" s="28" t="n">
        <v>40</v>
      </c>
      <c r="P62" s="31" t="n">
        <v>275</v>
      </c>
      <c r="Q62" s="28" t="n">
        <v>240</v>
      </c>
      <c r="R62" s="31" t="n">
        <v>450</v>
      </c>
      <c r="S62" s="28" t="n">
        <v>2</v>
      </c>
      <c r="T62" s="28" t="n">
        <v>40</v>
      </c>
      <c r="U62" s="31" t="n">
        <v>420</v>
      </c>
      <c r="V62" s="31">
        <f>R62*S62-P62</f>
        <v/>
      </c>
      <c r="W62" s="28" t="n">
        <v>1.75</v>
      </c>
      <c r="X62" s="28">
        <f>ROUND(V62/MAX(Q62,1),2)</f>
        <v/>
      </c>
      <c r="Y62" s="28" t="n">
        <v>1.02</v>
      </c>
      <c r="Z62" s="28">
        <f>IF(P62&gt;0,ROUND(V62/P62,2),"")</f>
        <v/>
      </c>
      <c r="AA62" s="28" t="n">
        <v>0.167</v>
      </c>
      <c r="AB62" s="28">
        <f>ROUND(T62/MAX(Q62,1),3)</f>
        <v/>
      </c>
      <c r="AC62" s="32" t="inlineStr">
        <is>
          <t>Cost 410-&gt;275 (-33%); Servings 415-&gt;450 (+8%)</t>
        </is>
      </c>
      <c r="AD62" s="32" t="inlineStr">
        <is>
          <t>Same dish as EN vanilla; your EN v1.1 numbers copied as-is</t>
        </is>
      </c>
      <c r="AE62" s="32" t="inlineStr"/>
      <c r="AF62" s="32" t="inlineStr"/>
      <c r="AG62" s="32" t="inlineStr"/>
      <c r="AH62" s="28" t="inlineStr">
        <is>
          <t>$410 · 240m · 415×$2 · 40xp</t>
        </is>
      </c>
      <c r="AI62" s="28" t="inlineStr">
        <is>
          <t>$275 · 240m · 450×$2 · 40xp</t>
        </is>
      </c>
      <c r="AJ62" s="28" t="inlineStr">
        <is>
          <t>1.75 → 2.60</t>
        </is>
      </c>
      <c r="AK62" s="28" t="inlineStr">
        <is>
          <t>ぐっさりターキー</t>
        </is>
      </c>
    </row>
    <row r="63">
      <c r="A63" s="28" t="n">
        <v>60</v>
      </c>
      <c r="B63" s="28" t="inlineStr">
        <is>
          <t>Cremated Brulee</t>
        </is>
      </c>
      <c r="C63" s="28" t="n">
        <v>15</v>
      </c>
      <c r="D63" s="28" t="inlineStr">
        <is>
          <t>Raid recipe</t>
        </is>
      </c>
      <c r="E63" s="28" t="inlineStr">
        <is>
          <t>Cremated Brulee</t>
        </is>
      </c>
      <c r="F63" s="28" t="inlineStr">
        <is>
          <t>Yes</t>
        </is>
      </c>
      <c r="G63" s="29" t="inlineStr">
        <is>
          <t>Port EN v1.1</t>
        </is>
      </c>
      <c r="H63" s="30">
        <f>IF(W63&gt;0,X63/W63-1,"")</f>
        <v/>
      </c>
      <c r="I63" s="28" t="inlineStr"/>
      <c r="J63" s="28" t="inlineStr"/>
      <c r="K63" s="31" t="n">
        <v>500</v>
      </c>
      <c r="L63" s="28" t="n">
        <v>440</v>
      </c>
      <c r="M63" s="31" t="n">
        <v>315</v>
      </c>
      <c r="N63" s="28" t="n">
        <v>3</v>
      </c>
      <c r="O63" s="28" t="n">
        <v>80</v>
      </c>
      <c r="P63" s="31" t="n">
        <v>210</v>
      </c>
      <c r="Q63" s="28" t="n">
        <v>440</v>
      </c>
      <c r="R63" s="31" t="n">
        <v>350</v>
      </c>
      <c r="S63" s="28" t="n">
        <v>3</v>
      </c>
      <c r="T63" s="28" t="n">
        <v>80</v>
      </c>
      <c r="U63" s="31" t="n">
        <v>445</v>
      </c>
      <c r="V63" s="31">
        <f>R63*S63-P63</f>
        <v/>
      </c>
      <c r="W63" s="28" t="n">
        <v>1.01</v>
      </c>
      <c r="X63" s="28">
        <f>ROUND(V63/MAX(Q63,1),2)</f>
        <v/>
      </c>
      <c r="Y63" s="28" t="n">
        <v>0.89</v>
      </c>
      <c r="Z63" s="28">
        <f>IF(P63&gt;0,ROUND(V63/P63,2),"")</f>
        <v/>
      </c>
      <c r="AA63" s="28" t="n">
        <v>0.182</v>
      </c>
      <c r="AB63" s="28">
        <f>ROUND(T63/MAX(Q63,1),3)</f>
        <v/>
      </c>
      <c r="AC63" s="32" t="inlineStr">
        <is>
          <t>Cost 500-&gt;210 (-58%); Servings 315-&gt;350 (+11%)</t>
        </is>
      </c>
      <c r="AD63" s="32" t="inlineStr">
        <is>
          <t>Same dish as EN vanilla; your EN v1.1 numbers copied as-is</t>
        </is>
      </c>
      <c r="AE63" s="32" t="inlineStr"/>
      <c r="AF63" s="32" t="inlineStr"/>
      <c r="AG63" s="32" t="inlineStr"/>
      <c r="AH63" s="28" t="inlineStr">
        <is>
          <t>$500 · 440m · 315×$3 · 80xp</t>
        </is>
      </c>
      <c r="AI63" s="28" t="inlineStr">
        <is>
          <t>$210 · 440m · 350×$3 · 80xp</t>
        </is>
      </c>
      <c r="AJ63" s="28" t="inlineStr">
        <is>
          <t>1.01 → 1.91</t>
        </is>
      </c>
      <c r="AK63" s="28" t="inlineStr">
        <is>
          <t>腐リーム・ブリュレ</t>
        </is>
      </c>
    </row>
    <row r="64">
      <c r="A64" s="28" t="n">
        <v>61</v>
      </c>
      <c r="B64" s="28" t="inlineStr">
        <is>
          <t>Snot Cross Buns</t>
        </is>
      </c>
      <c r="C64" s="28" t="n">
        <v>17</v>
      </c>
      <c r="D64" s="28" t="inlineStr">
        <is>
          <t>Raid recipe (also sold)</t>
        </is>
      </c>
      <c r="E64" s="28" t="inlineStr">
        <is>
          <t>Snot Cross Buns</t>
        </is>
      </c>
      <c r="F64" s="28" t="inlineStr">
        <is>
          <t>Yes</t>
        </is>
      </c>
      <c r="G64" s="29" t="inlineStr">
        <is>
          <t>Port EN v1.1</t>
        </is>
      </c>
      <c r="H64" s="30">
        <f>IF(W64&gt;0,X64/W64-1,"")</f>
        <v/>
      </c>
      <c r="I64" s="28" t="inlineStr"/>
      <c r="J64" s="28" t="inlineStr"/>
      <c r="K64" s="31" t="n">
        <v>2800</v>
      </c>
      <c r="L64" s="28" t="n">
        <v>1850</v>
      </c>
      <c r="M64" s="31" t="n">
        <v>1100</v>
      </c>
      <c r="N64" s="28" t="n">
        <v>4</v>
      </c>
      <c r="O64" s="28" t="n">
        <v>140</v>
      </c>
      <c r="P64" s="31" t="n">
        <v>1600</v>
      </c>
      <c r="Q64" s="28" t="n">
        <v>1850</v>
      </c>
      <c r="R64" s="31" t="n">
        <v>800</v>
      </c>
      <c r="S64" s="28" t="n">
        <v>4</v>
      </c>
      <c r="T64" s="28" t="n">
        <v>140</v>
      </c>
      <c r="U64" s="31" t="n">
        <v>1600</v>
      </c>
      <c r="V64" s="31">
        <f>R64*S64-P64</f>
        <v/>
      </c>
      <c r="W64" s="28" t="n">
        <v>0.86</v>
      </c>
      <c r="X64" s="28">
        <f>ROUND(V64/MAX(Q64,1),2)</f>
        <v/>
      </c>
      <c r="Y64" s="28" t="n">
        <v>0.57</v>
      </c>
      <c r="Z64" s="28">
        <f>IF(P64&gt;0,ROUND(V64/P64,2),"")</f>
        <v/>
      </c>
      <c r="AA64" s="28" t="n">
        <v>0.076</v>
      </c>
      <c r="AB64" s="28">
        <f>ROUND(T64/MAX(Q64,1),3)</f>
        <v/>
      </c>
      <c r="AC64" s="32" t="inlineStr">
        <is>
          <t>Cost 2,800-&gt;1,600 (-43%); Servings 1,100-&gt;800 (-27%)</t>
        </is>
      </c>
      <c r="AD64" s="32" t="inlineStr">
        <is>
          <t>Same dish as EN vanilla; your EN v1.1 numbers copied as-is</t>
        </is>
      </c>
      <c r="AE64" s="32" t="inlineStr"/>
      <c r="AF64" s="32" t="inlineStr"/>
      <c r="AG64" s="32" t="inlineStr"/>
      <c r="AH64" s="28" t="inlineStr">
        <is>
          <t>$2,800 · 1850m · 1100×$4 · 140xp</t>
        </is>
      </c>
      <c r="AI64" s="28" t="inlineStr">
        <is>
          <t>$1,600 · 1850m · 800×$4 · 140xp</t>
        </is>
      </c>
      <c r="AJ64" s="28" t="inlineStr">
        <is>
          <t>0.86 → 0.86</t>
        </is>
      </c>
      <c r="AK64" s="28" t="inlineStr">
        <is>
          <t>鼻水パン</t>
        </is>
      </c>
    </row>
    <row r="65">
      <c r="A65" s="28" t="n">
        <v>62</v>
      </c>
      <c r="B65" s="28" t="inlineStr">
        <is>
          <t>Blood Shake</t>
        </is>
      </c>
      <c r="C65" s="28" t="n">
        <v>19</v>
      </c>
      <c r="D65" s="28" t="inlineStr">
        <is>
          <t>Raid recipe (also sold)</t>
        </is>
      </c>
      <c r="E65" s="28" t="inlineStr">
        <is>
          <t>Blood Shake</t>
        </is>
      </c>
      <c r="F65" s="28" t="inlineStr">
        <is>
          <t>Yes</t>
        </is>
      </c>
      <c r="G65" s="29" t="inlineStr">
        <is>
          <t>Port EN v1.1</t>
        </is>
      </c>
      <c r="H65" s="30">
        <f>IF(W65&gt;0,X65/W65-1,"")</f>
        <v/>
      </c>
      <c r="I65" s="28" t="inlineStr"/>
      <c r="J65" s="28" t="inlineStr"/>
      <c r="K65" s="31" t="n">
        <v>325</v>
      </c>
      <c r="L65" s="28" t="n">
        <v>310</v>
      </c>
      <c r="M65" s="31" t="n">
        <v>360</v>
      </c>
      <c r="N65" s="28" t="n">
        <v>2</v>
      </c>
      <c r="O65" s="28" t="n">
        <v>50</v>
      </c>
      <c r="P65" s="31" t="n">
        <v>120</v>
      </c>
      <c r="Q65" s="28" t="n">
        <v>310</v>
      </c>
      <c r="R65" s="31" t="n">
        <v>400</v>
      </c>
      <c r="S65" s="28" t="n">
        <v>2</v>
      </c>
      <c r="T65" s="28" t="n">
        <v>50</v>
      </c>
      <c r="U65" s="31" t="n">
        <v>395</v>
      </c>
      <c r="V65" s="31">
        <f>R65*S65-P65</f>
        <v/>
      </c>
      <c r="W65" s="28" t="n">
        <v>1.27</v>
      </c>
      <c r="X65" s="28">
        <f>ROUND(V65/MAX(Q65,1),2)</f>
        <v/>
      </c>
      <c r="Y65" s="28" t="n">
        <v>1.22</v>
      </c>
      <c r="Z65" s="28">
        <f>IF(P65&gt;0,ROUND(V65/P65,2),"")</f>
        <v/>
      </c>
      <c r="AA65" s="28" t="n">
        <v>0.161</v>
      </c>
      <c r="AB65" s="28">
        <f>ROUND(T65/MAX(Q65,1),3)</f>
        <v/>
      </c>
      <c r="AC65" s="32" t="inlineStr">
        <is>
          <t>Cost 325-&gt;120 (-63%); Servings 360-&gt;400 (+11%)</t>
        </is>
      </c>
      <c r="AD65" s="32" t="inlineStr">
        <is>
          <t>Same dish as EN vanilla; your EN v1.1 numbers copied as-is</t>
        </is>
      </c>
      <c r="AE65" s="32" t="inlineStr"/>
      <c r="AF65" s="32" t="inlineStr"/>
      <c r="AG65" s="32" t="inlineStr"/>
      <c r="AH65" s="28" t="inlineStr">
        <is>
          <t>$325 · 310m · 360×$2 · 50xp</t>
        </is>
      </c>
      <c r="AI65" s="28" t="inlineStr">
        <is>
          <t>$120 · 310m · 400×$2 · 50xp</t>
        </is>
      </c>
      <c r="AJ65" s="28" t="inlineStr">
        <is>
          <t>1.27 → 2.19</t>
        </is>
      </c>
      <c r="AK65" s="28" t="inlineStr">
        <is>
          <t>ブラッド・シェーキ</t>
        </is>
      </c>
    </row>
    <row r="66">
      <c r="A66" s="28" t="n">
        <v>63</v>
      </c>
      <c r="B66" s="28" t="inlineStr">
        <is>
          <t>Fish Fingers</t>
        </is>
      </c>
      <c r="C66" s="28" t="n">
        <v>27</v>
      </c>
      <c r="D66" s="28" t="inlineStr">
        <is>
          <t>Level track</t>
        </is>
      </c>
      <c r="E66" s="28" t="inlineStr">
        <is>
          <t>Fish Fingers</t>
        </is>
      </c>
      <c r="F66" s="28" t="inlineStr">
        <is>
          <t>Yes</t>
        </is>
      </c>
      <c r="G66" s="29" t="inlineStr">
        <is>
          <t>Port EN v1.1</t>
        </is>
      </c>
      <c r="H66" s="30">
        <f>IF(W66&gt;0,X66/W66-1,"")</f>
        <v/>
      </c>
      <c r="I66" s="28" t="inlineStr"/>
      <c r="J66" s="28" t="inlineStr"/>
      <c r="K66" s="31" t="n">
        <v>1600</v>
      </c>
      <c r="L66" s="28" t="n">
        <v>650</v>
      </c>
      <c r="M66" s="31" t="n">
        <v>400</v>
      </c>
      <c r="N66" s="28" t="n">
        <v>5</v>
      </c>
      <c r="O66" s="28" t="n">
        <v>110</v>
      </c>
      <c r="P66" s="31" t="n">
        <v>1275</v>
      </c>
      <c r="Q66" s="28" t="n">
        <v>650</v>
      </c>
      <c r="R66" s="31" t="n">
        <v>425</v>
      </c>
      <c r="S66" s="28" t="n">
        <v>5</v>
      </c>
      <c r="T66" s="28" t="n">
        <v>110</v>
      </c>
      <c r="U66" s="31" t="n">
        <v>400</v>
      </c>
      <c r="V66" s="31">
        <f>R66*S66-P66</f>
        <v/>
      </c>
      <c r="W66" s="28" t="n">
        <v>0.62</v>
      </c>
      <c r="X66" s="28">
        <f>ROUND(V66/MAX(Q66,1),2)</f>
        <v/>
      </c>
      <c r="Y66" s="28" t="n">
        <v>0.25</v>
      </c>
      <c r="Z66" s="28">
        <f>IF(P66&gt;0,ROUND(V66/P66,2),"")</f>
        <v/>
      </c>
      <c r="AA66" s="28" t="n">
        <v>0.169</v>
      </c>
      <c r="AB66" s="28">
        <f>ROUND(T66/MAX(Q66,1),3)</f>
        <v/>
      </c>
      <c r="AC66" s="32" t="inlineStr">
        <is>
          <t>Cost 1,600-&gt;1,275 (-20%); Servings 400-&gt;425 (+6%)</t>
        </is>
      </c>
      <c r="AD66" s="32" t="inlineStr">
        <is>
          <t>Same dish as EN vanilla; your EN v1.1 numbers copied as-is</t>
        </is>
      </c>
      <c r="AE66" s="32" t="inlineStr"/>
      <c r="AF66" s="32" t="inlineStr"/>
      <c r="AG66" s="32" t="inlineStr"/>
      <c r="AH66" s="28" t="inlineStr">
        <is>
          <t>$1,600 · 650m · 400×$5 · 110xp</t>
        </is>
      </c>
      <c r="AI66" s="28" t="inlineStr">
        <is>
          <t>$1,275 · 650m · 425×$5 · 110xp</t>
        </is>
      </c>
      <c r="AJ66" s="28" t="inlineStr">
        <is>
          <t>0.61 → 1.31</t>
        </is>
      </c>
      <c r="AK66" s="28" t="inlineStr">
        <is>
          <t>魚のフライ　釣り針入り</t>
        </is>
      </c>
    </row>
    <row r="67">
      <c r="A67" s="28" t="n">
        <v>64</v>
      </c>
      <c r="B67" s="28" t="inlineStr">
        <is>
          <t>Cuss-Turd Tart</t>
        </is>
      </c>
      <c r="C67" s="28" t="n">
        <v>28</v>
      </c>
      <c r="D67" s="28" t="inlineStr">
        <is>
          <t>Level track</t>
        </is>
      </c>
      <c r="E67" s="28" t="inlineStr">
        <is>
          <t>Cuss-Turd Tart</t>
        </is>
      </c>
      <c r="F67" s="28" t="inlineStr">
        <is>
          <t>Yes</t>
        </is>
      </c>
      <c r="G67" s="29" t="inlineStr">
        <is>
          <t>Port EN v1.1</t>
        </is>
      </c>
      <c r="H67" s="30">
        <f>IF(W67&gt;0,X67/W67-1,"")</f>
        <v/>
      </c>
      <c r="I67" s="28" t="inlineStr"/>
      <c r="J67" s="28" t="inlineStr"/>
      <c r="K67" s="31" t="n">
        <v>750</v>
      </c>
      <c r="L67" s="28" t="n">
        <v>280</v>
      </c>
      <c r="M67" s="31" t="n">
        <v>200</v>
      </c>
      <c r="N67" s="28" t="n">
        <v>5</v>
      </c>
      <c r="O67" s="28" t="n">
        <v>60</v>
      </c>
      <c r="P67" s="31" t="n">
        <v>750</v>
      </c>
      <c r="Q67" s="28" t="n">
        <v>280</v>
      </c>
      <c r="R67" s="31" t="n">
        <v>200</v>
      </c>
      <c r="S67" s="28" t="n">
        <v>10</v>
      </c>
      <c r="T67" s="28" t="n">
        <v>60</v>
      </c>
      <c r="U67" s="31" t="n">
        <v>250</v>
      </c>
      <c r="V67" s="31">
        <f>R67*S67-P67</f>
        <v/>
      </c>
      <c r="W67" s="28" t="n">
        <v>0.89</v>
      </c>
      <c r="X67" s="28">
        <f>ROUND(V67/MAX(Q67,1),2)</f>
        <v/>
      </c>
      <c r="Y67" s="28" t="n">
        <v>0.33</v>
      </c>
      <c r="Z67" s="28">
        <f>IF(P67&gt;0,ROUND(V67/P67,2),"")</f>
        <v/>
      </c>
      <c r="AA67" s="28" t="n">
        <v>0.214</v>
      </c>
      <c r="AB67" s="28">
        <f>ROUND(T67/MAX(Q67,1),3)</f>
        <v/>
      </c>
      <c r="AC67" s="32" t="inlineStr">
        <is>
          <t>$/serving 5-&gt;10 (+100%)</t>
        </is>
      </c>
      <c r="AD67" s="32" t="inlineStr">
        <is>
          <t>Same dish as EN vanilla; your EN v1.1 numbers copied as-is</t>
        </is>
      </c>
      <c r="AE67" s="32" t="inlineStr"/>
      <c r="AF67" s="32" t="inlineStr"/>
      <c r="AG67" s="32" t="inlineStr"/>
      <c r="AH67" s="28" t="inlineStr">
        <is>
          <t>$750 · 280m · 200×$5 · 60xp</t>
        </is>
      </c>
      <c r="AI67" s="28" t="inlineStr">
        <is>
          <t>$750 · 280m · 200×$10 · 60xp</t>
        </is>
      </c>
      <c r="AJ67" s="28" t="inlineStr">
        <is>
          <t>0.89 → 4.46</t>
        </is>
      </c>
      <c r="AK67" s="28" t="inlineStr">
        <is>
          <t>カスなカスタードタルト</t>
        </is>
      </c>
    </row>
    <row r="68">
      <c r="A68" s="28" t="n">
        <v>65</v>
      </c>
      <c r="B68" s="28" t="inlineStr">
        <is>
          <t>Fruit Cake</t>
        </is>
      </c>
      <c r="C68" s="28" t="n">
        <v>29</v>
      </c>
      <c r="D68" s="28" t="inlineStr">
        <is>
          <t>Level track</t>
        </is>
      </c>
      <c r="E68" s="28" t="inlineStr">
        <is>
          <t>Fruit Cake</t>
        </is>
      </c>
      <c r="F68" s="28" t="inlineStr">
        <is>
          <t>Yes</t>
        </is>
      </c>
      <c r="G68" s="29" t="inlineStr">
        <is>
          <t>Port EN v1.1</t>
        </is>
      </c>
      <c r="H68" s="30">
        <f>IF(W68&gt;0,X68/W68-1,"")</f>
        <v/>
      </c>
      <c r="I68" s="28" t="inlineStr"/>
      <c r="J68" s="28" t="inlineStr"/>
      <c r="K68" s="31" t="n">
        <v>4500</v>
      </c>
      <c r="L68" s="28" t="n">
        <v>2500</v>
      </c>
      <c r="M68" s="31" t="n">
        <v>900</v>
      </c>
      <c r="N68" s="28" t="n">
        <v>7</v>
      </c>
      <c r="O68" s="28" t="n">
        <v>180</v>
      </c>
      <c r="P68" s="31" t="n">
        <v>3300</v>
      </c>
      <c r="Q68" s="28" t="n">
        <v>2500</v>
      </c>
      <c r="R68" s="31" t="n">
        <v>600</v>
      </c>
      <c r="S68" s="28" t="n">
        <v>11</v>
      </c>
      <c r="T68" s="28" t="n">
        <v>180</v>
      </c>
      <c r="U68" s="31" t="n">
        <v>1800</v>
      </c>
      <c r="V68" s="31">
        <f>R68*S68-P68</f>
        <v/>
      </c>
      <c r="W68" s="28" t="n">
        <v>0.72</v>
      </c>
      <c r="X68" s="28">
        <f>ROUND(V68/MAX(Q68,1),2)</f>
        <v/>
      </c>
      <c r="Y68" s="28" t="n">
        <v>0.4</v>
      </c>
      <c r="Z68" s="28">
        <f>IF(P68&gt;0,ROUND(V68/P68,2),"")</f>
        <v/>
      </c>
      <c r="AA68" s="28" t="n">
        <v>0.07199999999999999</v>
      </c>
      <c r="AB68" s="28">
        <f>ROUND(T68/MAX(Q68,1),3)</f>
        <v/>
      </c>
      <c r="AC68" s="32" t="inlineStr">
        <is>
          <t>Cost 4,500-&gt;3,300 (-27%); Servings 900-&gt;600 (-33%); $/serving 7-&gt;11 (+57%)</t>
        </is>
      </c>
      <c r="AD68" s="32" t="inlineStr">
        <is>
          <t>Same dish as EN vanilla; your EN v1.1 numbers copied as-is</t>
        </is>
      </c>
      <c r="AE68" s="32" t="inlineStr"/>
      <c r="AF68" s="32" t="inlineStr"/>
      <c r="AG68" s="32" t="inlineStr"/>
      <c r="AH68" s="28" t="inlineStr">
        <is>
          <t>$4,500 · 2500m · 900×$7 · 180xp</t>
        </is>
      </c>
      <c r="AI68" s="28" t="inlineStr">
        <is>
          <t>$3,300 · 2500m · 600×$11 · 180xp</t>
        </is>
      </c>
      <c r="AJ68" s="28" t="inlineStr">
        <is>
          <t>0.72 → 1.32</t>
        </is>
      </c>
      <c r="AK68" s="28" t="inlineStr">
        <is>
          <t>クモの巣フルーツケーキ</t>
        </is>
      </c>
    </row>
    <row r="69">
      <c r="A69" s="28" t="n">
        <v>66</v>
      </c>
      <c r="B69" s="28" t="inlineStr">
        <is>
          <t>Puking Duck</t>
        </is>
      </c>
      <c r="C69" s="28" t="n">
        <v>9</v>
      </c>
      <c r="D69" s="28" t="inlineStr">
        <is>
          <t>Raid recipe (also sold)</t>
        </is>
      </c>
      <c r="E69" s="28" t="inlineStr">
        <is>
          <t>Puking Duck</t>
        </is>
      </c>
      <c r="F69" s="28" t="inlineStr">
        <is>
          <t>No</t>
        </is>
      </c>
      <c r="G69" s="34" t="inlineStr">
        <is>
          <t>EN pattern: buff</t>
        </is>
      </c>
      <c r="H69" s="30">
        <f>IF(W69&gt;0,X69/W69-1,"")</f>
        <v/>
      </c>
      <c r="I69" s="28" t="inlineStr"/>
      <c r="J69" s="28" t="inlineStr"/>
      <c r="K69" s="31" t="n">
        <v>525</v>
      </c>
      <c r="L69" s="28" t="n">
        <v>360</v>
      </c>
      <c r="M69" s="31" t="n">
        <v>400</v>
      </c>
      <c r="N69" s="28" t="n">
        <v>2</v>
      </c>
      <c r="O69" s="28" t="n">
        <v>100</v>
      </c>
      <c r="P69" s="31" t="n">
        <v>185</v>
      </c>
      <c r="Q69" s="28" t="n">
        <v>360</v>
      </c>
      <c r="R69" s="31" t="n">
        <v>465</v>
      </c>
      <c r="S69" s="28" t="n">
        <v>2</v>
      </c>
      <c r="T69" s="28" t="n">
        <v>100</v>
      </c>
      <c r="U69" s="31" t="n">
        <v>275</v>
      </c>
      <c r="V69" s="31">
        <f>R69*S69-P69</f>
        <v/>
      </c>
      <c r="W69" s="28" t="n">
        <v>0.76</v>
      </c>
      <c r="X69" s="28">
        <f>ROUND(V69/MAX(Q69,1),2)</f>
        <v/>
      </c>
      <c r="Y69" s="28" t="n">
        <v>0.52</v>
      </c>
      <c r="Z69" s="28">
        <f>IF(P69&gt;0,ROUND(V69/P69,2),"")</f>
        <v/>
      </c>
      <c r="AA69" s="28" t="n">
        <v>0.278</v>
      </c>
      <c r="AB69" s="28">
        <f>ROUND(T69/MAX(Q69,1),3)</f>
        <v/>
      </c>
      <c r="AC69" s="32" t="inlineStr">
        <is>
          <t>Cost 525-&gt;185 (-65%); Servings 400-&gt;465 (+16%)</t>
        </is>
      </c>
      <c r="AD69" s="32" t="inlineStr">
        <is>
          <t>Treated like Faux Noodles, the middle of the 5 most similar EN dishes: you changed it cost -64%, servings +17% (profit ×2.07)</t>
        </is>
      </c>
      <c r="AE69" s="32" t="inlineStr">
        <is>
          <t>Faux Noodles (EN Lv11: cost -64%, servings +17%)</t>
        </is>
      </c>
      <c r="AF69" s="32" t="inlineStr">
        <is>
          <t>Quick Stir-fly, Khyber-Belt Kebabs, Sneeze Disease Pizza, Faux Noodles, Cremated Brulee</t>
        </is>
      </c>
      <c r="AG69" s="32" t="inlineStr"/>
      <c r="AH69" s="28" t="inlineStr">
        <is>
          <t>$1,500 · 1100m · 700×$5 · 130xp</t>
        </is>
      </c>
      <c r="AI69" s="28" t="inlineStr">
        <is>
          <t>$1,500 · 1100m · 750×$5 · 130xp</t>
        </is>
      </c>
      <c r="AJ69" s="28" t="inlineStr">
        <is>
          <t>1.82 → 2.04</t>
        </is>
      </c>
      <c r="AK69" s="28" t="inlineStr">
        <is>
          <t>摩訶ロン</t>
        </is>
      </c>
    </row>
    <row r="70">
      <c r="A70" s="28" t="n">
        <v>67</v>
      </c>
      <c r="B70" s="28" t="inlineStr">
        <is>
          <t>Leg Rolls</t>
        </is>
      </c>
      <c r="C70" s="28" t="n">
        <v>30</v>
      </c>
      <c r="D70" s="28" t="inlineStr">
        <is>
          <t>Level track</t>
        </is>
      </c>
      <c r="E70" s="28" t="inlineStr">
        <is>
          <t>Leg Rolls</t>
        </is>
      </c>
      <c r="F70" s="28" t="inlineStr">
        <is>
          <t>No</t>
        </is>
      </c>
      <c r="G70" s="35" t="inlineStr">
        <is>
          <t>EN pattern: hold</t>
        </is>
      </c>
      <c r="H70" s="30">
        <f>IF(W70&gt;0,X70/W70-1,"")</f>
        <v/>
      </c>
      <c r="I70" s="28" t="inlineStr"/>
      <c r="J70" s="28" t="inlineStr"/>
      <c r="K70" s="31" t="n">
        <v>4300</v>
      </c>
      <c r="L70" s="28" t="n">
        <v>5760</v>
      </c>
      <c r="M70" s="31" t="n">
        <v>2100</v>
      </c>
      <c r="N70" s="28" t="n">
        <v>4</v>
      </c>
      <c r="O70" s="28" t="n">
        <v>295</v>
      </c>
      <c r="P70" s="31" t="n">
        <v>4300</v>
      </c>
      <c r="Q70" s="28" t="n">
        <v>5760</v>
      </c>
      <c r="R70" s="31" t="n">
        <v>2100</v>
      </c>
      <c r="S70" s="28" t="n">
        <v>4</v>
      </c>
      <c r="T70" s="28" t="n">
        <v>295</v>
      </c>
      <c r="U70" s="31" t="n">
        <v>4100</v>
      </c>
      <c r="V70" s="31">
        <f>R70*S70-P70</f>
        <v/>
      </c>
      <c r="W70" s="28" t="n">
        <v>0.71</v>
      </c>
      <c r="X70" s="28">
        <f>ROUND(V70/MAX(Q70,1),2)</f>
        <v/>
      </c>
      <c r="Y70" s="28" t="n">
        <v>0.95</v>
      </c>
      <c r="Z70" s="28">
        <f>IF(P70&gt;0,ROUND(V70/P70,2),"")</f>
        <v/>
      </c>
      <c r="AA70" s="28" t="n">
        <v>0.051</v>
      </c>
      <c r="AB70" s="28">
        <f>ROUND(T70/MAX(Q70,1),3)</f>
        <v/>
      </c>
      <c r="AC70" s="32" t="inlineStr">
        <is>
          <t>—</t>
        </is>
      </c>
      <c r="AD70" s="32" t="inlineStr">
        <is>
          <t>Treated like Escargut, the middle of the 5 most similar EN dishes: you left it unchanged</t>
        </is>
      </c>
      <c r="AE70" s="32" t="inlineStr">
        <is>
          <t>Escargut (EN Lv19: unchanged)</t>
        </is>
      </c>
      <c r="AF70" s="32" t="inlineStr">
        <is>
          <t>Fetidccine, Tumor Melts, Escargut, Fruit Cake, Bleeding Hearts</t>
        </is>
      </c>
      <c r="AG70" s="32" t="inlineStr"/>
      <c r="AH70" s="28" t="inlineStr">
        <is>
          <t>$400 · 700m · 350×$3 · 100xp</t>
        </is>
      </c>
      <c r="AI70" s="28" t="inlineStr">
        <is>
          <t>$210 · 700m · 400×$3 · 100xp</t>
        </is>
      </c>
      <c r="AJ70" s="28" t="inlineStr">
        <is>
          <t>0.93 → 1.41</t>
        </is>
      </c>
      <c r="AK70" s="28" t="inlineStr">
        <is>
          <t>暗黒のホワイトシチュー</t>
        </is>
      </c>
    </row>
    <row r="71">
      <c r="A71" s="28" t="n">
        <v>68</v>
      </c>
      <c r="B71" s="28" t="inlineStr">
        <is>
          <t>Cracked Ribs</t>
        </is>
      </c>
      <c r="C71" s="28" t="n">
        <v>15</v>
      </c>
      <c r="D71" s="28" t="inlineStr">
        <is>
          <t>Raid recipe (also sold)</t>
        </is>
      </c>
      <c r="E71" s="28" t="inlineStr">
        <is>
          <t>Cracked Ribs</t>
        </is>
      </c>
      <c r="F71" s="28" t="inlineStr">
        <is>
          <t>No</t>
        </is>
      </c>
      <c r="G71" s="35" t="inlineStr">
        <is>
          <t>EN pattern: hold</t>
        </is>
      </c>
      <c r="H71" s="30">
        <f>IF(W71&gt;0,X71/W71-1,"")</f>
        <v/>
      </c>
      <c r="I71" s="28" t="inlineStr"/>
      <c r="J71" s="28" t="inlineStr"/>
      <c r="K71" s="31" t="n">
        <v>550</v>
      </c>
      <c r="L71" s="28" t="n">
        <v>120</v>
      </c>
      <c r="M71" s="31" t="n">
        <v>520</v>
      </c>
      <c r="N71" s="28" t="n">
        <v>3</v>
      </c>
      <c r="O71" s="28" t="n">
        <v>100</v>
      </c>
      <c r="P71" s="31" t="n">
        <v>550</v>
      </c>
      <c r="Q71" s="28" t="n">
        <v>120</v>
      </c>
      <c r="R71" s="31" t="n">
        <v>520</v>
      </c>
      <c r="S71" s="28" t="n">
        <v>3</v>
      </c>
      <c r="T71" s="28" t="n">
        <v>100</v>
      </c>
      <c r="U71" s="31" t="n">
        <v>1010</v>
      </c>
      <c r="V71" s="31">
        <f>R71*S71-P71</f>
        <v/>
      </c>
      <c r="W71" s="28" t="n">
        <v>8.42</v>
      </c>
      <c r="X71" s="28">
        <f>ROUND(V71/MAX(Q71,1),2)</f>
        <v/>
      </c>
      <c r="Y71" s="28" t="n">
        <v>1.84</v>
      </c>
      <c r="Z71" s="28">
        <f>IF(P71&gt;0,ROUND(V71/P71,2),"")</f>
        <v/>
      </c>
      <c r="AA71" s="28" t="n">
        <v>0.833</v>
      </c>
      <c r="AB71" s="28">
        <f>ROUND(T71/MAX(Q71,1),3)</f>
        <v/>
      </c>
      <c r="AC71" s="32" t="inlineStr">
        <is>
          <t>—</t>
        </is>
      </c>
      <c r="AD71" s="32" t="inlineStr">
        <is>
          <t>Treated like Fish Bones &amp; Gold Chips, the middle of the 5 most similar EN dishes: you left it unchanged</t>
        </is>
      </c>
      <c r="AE71" s="32" t="inlineStr">
        <is>
          <t>Fish Bones &amp; Gold Chips (EN Lv12: unchanged)</t>
        </is>
      </c>
      <c r="AF71" s="32" t="inlineStr">
        <is>
          <t>Sandwitch, Caramel Adam's Apple, Leech Melba, Tweet Loaf, Fish Bones &amp; Gold Chips</t>
        </is>
      </c>
      <c r="AG71" s="32" t="inlineStr">
        <is>
          <t>Loose match: no EN dish is very close; Quick-cash dish already (8.4 $/min)</t>
        </is>
      </c>
      <c r="AH71" s="28" t="inlineStr">
        <is>
          <t>$1,492 · 475m · 375×$6 · 105xp</t>
        </is>
      </c>
      <c r="AI71" s="28" t="inlineStr">
        <is>
          <t>$1,100 · 475m · 400×$6 · 105xp</t>
        </is>
      </c>
      <c r="AJ71" s="28" t="inlineStr">
        <is>
          <t>1.60 → 2.74</t>
        </is>
      </c>
      <c r="AK71" s="28" t="inlineStr">
        <is>
          <t>ゾンビアラモード</t>
        </is>
      </c>
    </row>
    <row r="72">
      <c r="A72" s="28" t="n">
        <v>69</v>
      </c>
      <c r="B72" s="28" t="inlineStr">
        <is>
          <t>Gruesome Gruel</t>
        </is>
      </c>
      <c r="C72" s="28" t="n">
        <v>13</v>
      </c>
      <c r="D72" s="28" t="inlineStr">
        <is>
          <t>Raid recipe</t>
        </is>
      </c>
      <c r="E72" s="28" t="inlineStr">
        <is>
          <t>Gruesome Gruel</t>
        </is>
      </c>
      <c r="F72" s="28" t="inlineStr">
        <is>
          <t>No</t>
        </is>
      </c>
      <c r="G72" s="34" t="inlineStr">
        <is>
          <t>EN pattern: buff</t>
        </is>
      </c>
      <c r="H72" s="30">
        <f>IF(W72&gt;0,X72/W72-1,"")</f>
        <v/>
      </c>
      <c r="I72" s="28" t="inlineStr"/>
      <c r="J72" s="28" t="inlineStr"/>
      <c r="K72" s="31" t="n">
        <v>200</v>
      </c>
      <c r="L72" s="28" t="n">
        <v>30</v>
      </c>
      <c r="M72" s="31" t="n">
        <v>250</v>
      </c>
      <c r="N72" s="28" t="n">
        <v>1</v>
      </c>
      <c r="O72" s="28" t="n">
        <v>14</v>
      </c>
      <c r="P72" s="31" t="n">
        <v>60</v>
      </c>
      <c r="Q72" s="28" t="n">
        <v>30</v>
      </c>
      <c r="R72" s="31" t="n">
        <v>250</v>
      </c>
      <c r="S72" s="28" t="n">
        <v>1</v>
      </c>
      <c r="T72" s="28" t="n">
        <v>14</v>
      </c>
      <c r="U72" s="31" t="n">
        <v>50</v>
      </c>
      <c r="V72" s="31">
        <f>R72*S72-P72</f>
        <v/>
      </c>
      <c r="W72" s="28" t="n">
        <v>1.67</v>
      </c>
      <c r="X72" s="28">
        <f>ROUND(V72/MAX(Q72,1),2)</f>
        <v/>
      </c>
      <c r="Y72" s="28" t="n">
        <v>0.25</v>
      </c>
      <c r="Z72" s="28">
        <f>IF(P72&gt;0,ROUND(V72/P72,2),"")</f>
        <v/>
      </c>
      <c r="AA72" s="28" t="n">
        <v>0.467</v>
      </c>
      <c r="AB72" s="28">
        <f>ROUND(T72/MAX(Q72,1),3)</f>
        <v/>
      </c>
      <c r="AC72" s="32" t="inlineStr">
        <is>
          <t>Cost 200-&gt;60 (-70%)</t>
        </is>
      </c>
      <c r="AD72" s="32" t="inlineStr">
        <is>
          <t>Treated like Misfortune Cookies, the middle of the 5 most similar EN dishes: you changed it cost -70% (profit ×3.80)</t>
        </is>
      </c>
      <c r="AE72" s="32" t="inlineStr">
        <is>
          <t>Misfortune Cookies (EN Lv11: cost -70%)</t>
        </is>
      </c>
      <c r="AF72" s="32" t="inlineStr">
        <is>
          <t>Loco Tacos, Rot Dogs, Misfortune Cookies, Onion Wrongs, Entrail-ladas</t>
        </is>
      </c>
      <c r="AG72" s="32" t="inlineStr"/>
      <c r="AH72" s="28" t="inlineStr">
        <is>
          <t>$2,450 · 1200m · 355×$8 · 145xp</t>
        </is>
      </c>
      <c r="AI72" s="28" t="inlineStr">
        <is>
          <t>$2,100 · 1200m · 350×$11 · 145xp</t>
        </is>
      </c>
      <c r="AJ72" s="28" t="inlineStr">
        <is>
          <t>0.33 → 1.46</t>
        </is>
      </c>
      <c r="AK72" s="28" t="inlineStr">
        <is>
          <t>暴れんタインチョコ</t>
        </is>
      </c>
    </row>
    <row r="73">
      <c r="A73" s="28" t="n">
        <v>70</v>
      </c>
      <c r="B73" s="28" t="inlineStr">
        <is>
          <t>Roe Boat</t>
        </is>
      </c>
      <c r="C73" s="28" t="n">
        <v>31</v>
      </c>
      <c r="D73" s="28" t="inlineStr">
        <is>
          <t>Level track</t>
        </is>
      </c>
      <c r="E73" s="28" t="inlineStr">
        <is>
          <t>Roe Boat</t>
        </is>
      </c>
      <c r="F73" s="28" t="inlineStr">
        <is>
          <t>No</t>
        </is>
      </c>
      <c r="G73" s="34" t="inlineStr">
        <is>
          <t>EN pattern: buff</t>
        </is>
      </c>
      <c r="H73" s="30">
        <f>IF(W73&gt;0,X73/W73-1,"")</f>
        <v/>
      </c>
      <c r="I73" s="28" t="inlineStr"/>
      <c r="J73" s="28" t="inlineStr"/>
      <c r="K73" s="31" t="n">
        <v>1250</v>
      </c>
      <c r="L73" s="28" t="n">
        <v>600</v>
      </c>
      <c r="M73" s="31" t="n">
        <v>180</v>
      </c>
      <c r="N73" s="28" t="n">
        <v>8</v>
      </c>
      <c r="O73" s="28" t="n">
        <v>95</v>
      </c>
      <c r="P73" s="31" t="n">
        <v>830</v>
      </c>
      <c r="Q73" s="28" t="n">
        <v>600</v>
      </c>
      <c r="R73" s="31" t="n">
        <v>180</v>
      </c>
      <c r="S73" s="28" t="n">
        <v>8</v>
      </c>
      <c r="T73" s="28" t="n">
        <v>95</v>
      </c>
      <c r="U73" s="31" t="n">
        <v>190</v>
      </c>
      <c r="V73" s="31">
        <f>R73*S73-P73</f>
        <v/>
      </c>
      <c r="W73" s="28" t="n">
        <v>0.32</v>
      </c>
      <c r="X73" s="28">
        <f>ROUND(V73/MAX(Q73,1),2)</f>
        <v/>
      </c>
      <c r="Y73" s="28" t="n">
        <v>0.15</v>
      </c>
      <c r="Z73" s="28">
        <f>IF(P73&gt;0,ROUND(V73/P73,2),"")</f>
        <v/>
      </c>
      <c r="AA73" s="28" t="n">
        <v>0.158</v>
      </c>
      <c r="AB73" s="28">
        <f>ROUND(T73/MAX(Q73,1),3)</f>
        <v/>
      </c>
      <c r="AC73" s="32" t="inlineStr">
        <is>
          <t>Cost 1,250-&gt;830 (-34%)</t>
        </is>
      </c>
      <c r="AD73" s="32" t="inlineStr">
        <is>
          <t>Treated like Rotten-Apple Pie, the middle of the 5 most similar EN dishes: you changed it cost -33% (profit ×2.19)</t>
        </is>
      </c>
      <c r="AE73" s="32" t="inlineStr">
        <is>
          <t>Rotten-Apple Pie (EN Lv33: cost -33%)</t>
        </is>
      </c>
      <c r="AF73" s="32" t="inlineStr">
        <is>
          <t>Fish Fingers, Gruesome Gruel, Anti Hero Sandwich, Rotten-Apple Pie, Cockroach Calzone</t>
        </is>
      </c>
      <c r="AG73" s="32" t="inlineStr"/>
      <c r="AH73" s="28" t="inlineStr">
        <is>
          <t>$1,500 · 1000m · 730×$5 · 145xp</t>
        </is>
      </c>
      <c r="AI73" s="28" t="inlineStr">
        <is>
          <t>$1,500 · 1000m · 730×$5 · 145xp</t>
        </is>
      </c>
      <c r="AJ73" s="28" t="inlineStr">
        <is>
          <t>2.15 → 2.15</t>
        </is>
      </c>
      <c r="AK73" s="28" t="inlineStr">
        <is>
          <t>ユビ天丼</t>
        </is>
      </c>
    </row>
    <row r="74">
      <c r="A74" s="28" t="n">
        <v>71</v>
      </c>
      <c r="B74" s="28" t="inlineStr">
        <is>
          <t>Lion's Head Meatballs</t>
        </is>
      </c>
      <c r="C74" s="28" t="n">
        <v>32</v>
      </c>
      <c r="D74" s="28" t="inlineStr">
        <is>
          <t>Level track</t>
        </is>
      </c>
      <c r="E74" s="28" t="inlineStr">
        <is>
          <t>Lion's Head Meatballs</t>
        </is>
      </c>
      <c r="F74" s="28" t="inlineStr">
        <is>
          <t>No</t>
        </is>
      </c>
      <c r="G74" s="35" t="inlineStr">
        <is>
          <t>EN pattern: hold</t>
        </is>
      </c>
      <c r="H74" s="30">
        <f>IF(W74&gt;0,X74/W74-1,"")</f>
        <v/>
      </c>
      <c r="I74" s="28" t="inlineStr"/>
      <c r="J74" s="28" t="inlineStr"/>
      <c r="K74" s="31" t="n">
        <v>3250</v>
      </c>
      <c r="L74" s="28" t="n">
        <v>1900</v>
      </c>
      <c r="M74" s="31" t="n">
        <v>1150</v>
      </c>
      <c r="N74" s="28" t="n">
        <v>4</v>
      </c>
      <c r="O74" s="28" t="n">
        <v>150</v>
      </c>
      <c r="P74" s="31" t="n">
        <v>3250</v>
      </c>
      <c r="Q74" s="28" t="n">
        <v>1900</v>
      </c>
      <c r="R74" s="31" t="n">
        <v>1150</v>
      </c>
      <c r="S74" s="28" t="n">
        <v>4</v>
      </c>
      <c r="T74" s="28" t="n">
        <v>150</v>
      </c>
      <c r="U74" s="31" t="n">
        <v>1350</v>
      </c>
      <c r="V74" s="31">
        <f>R74*S74-P74</f>
        <v/>
      </c>
      <c r="W74" s="28" t="n">
        <v>0.71</v>
      </c>
      <c r="X74" s="28">
        <f>ROUND(V74/MAX(Q74,1),2)</f>
        <v/>
      </c>
      <c r="Y74" s="28" t="n">
        <v>0.42</v>
      </c>
      <c r="Z74" s="28">
        <f>IF(P74&gt;0,ROUND(V74/P74,2),"")</f>
        <v/>
      </c>
      <c r="AA74" s="28" t="n">
        <v>0.079</v>
      </c>
      <c r="AB74" s="28">
        <f>ROUND(T74/MAX(Q74,1),3)</f>
        <v/>
      </c>
      <c r="AC74" s="32" t="inlineStr">
        <is>
          <t>—</t>
        </is>
      </c>
      <c r="AD74" s="32" t="inlineStr">
        <is>
          <t>Treated like Mourned Beef and Cabbage, the middle of the 5 most similar EN dishes: you left it unchanged</t>
        </is>
      </c>
      <c r="AE74" s="32" t="inlineStr">
        <is>
          <t>Mourned Beef and Cabbage (EN Lv14: unchanged)</t>
        </is>
      </c>
      <c r="AF74" s="32" t="inlineStr">
        <is>
          <t>Bleeding Hearts, Thumb Pudding, Snot Cross Buns, Mourned Beef and Cabbage, Fruit Cake</t>
        </is>
      </c>
      <c r="AG74" s="32" t="inlineStr"/>
      <c r="AH74" s="28" t="inlineStr">
        <is>
          <t>$1,260 · 470m · 320×$6 · 85xp</t>
        </is>
      </c>
      <c r="AI74" s="28" t="inlineStr">
        <is>
          <t>$890 · 470m · 350×$6 · 85xp</t>
        </is>
      </c>
      <c r="AJ74" s="28" t="inlineStr">
        <is>
          <t>1.40 → 2.57</t>
        </is>
      </c>
      <c r="AK74" s="28" t="inlineStr">
        <is>
          <t>ムカデロール</t>
        </is>
      </c>
    </row>
    <row r="75">
      <c r="A75" s="28" t="n">
        <v>72</v>
      </c>
      <c r="B75" s="28" t="inlineStr">
        <is>
          <t>Torn-Up-Cake</t>
        </is>
      </c>
      <c r="C75" s="28" t="n">
        <v>18</v>
      </c>
      <c r="D75" s="28" t="inlineStr">
        <is>
          <t>Raid recipe (also sold)</t>
        </is>
      </c>
      <c r="E75" s="28" t="inlineStr">
        <is>
          <t>Torn-Up-Cake</t>
        </is>
      </c>
      <c r="F75" s="28" t="inlineStr">
        <is>
          <t>No</t>
        </is>
      </c>
      <c r="G75" s="34" t="inlineStr">
        <is>
          <t>EN pattern: buff</t>
        </is>
      </c>
      <c r="H75" s="30">
        <f>IF(W75&gt;0,X75/W75-1,"")</f>
        <v/>
      </c>
      <c r="I75" s="28" t="inlineStr"/>
      <c r="J75" s="28" t="inlineStr"/>
      <c r="K75" s="31" t="n">
        <v>400</v>
      </c>
      <c r="L75" s="28" t="n">
        <v>700</v>
      </c>
      <c r="M75" s="31" t="n">
        <v>350</v>
      </c>
      <c r="N75" s="28" t="n">
        <v>3</v>
      </c>
      <c r="O75" s="28" t="n">
        <v>100</v>
      </c>
      <c r="P75" s="31" t="n">
        <v>400</v>
      </c>
      <c r="Q75" s="28" t="n">
        <v>700</v>
      </c>
      <c r="R75" s="31" t="n">
        <v>380</v>
      </c>
      <c r="S75" s="28" t="n">
        <v>3</v>
      </c>
      <c r="T75" s="28" t="n">
        <v>100</v>
      </c>
      <c r="U75" s="31" t="n">
        <v>650</v>
      </c>
      <c r="V75" s="31">
        <f>R75*S75-P75</f>
        <v/>
      </c>
      <c r="W75" s="28" t="n">
        <v>0.93</v>
      </c>
      <c r="X75" s="28">
        <f>ROUND(V75/MAX(Q75,1),2)</f>
        <v/>
      </c>
      <c r="Y75" s="28" t="n">
        <v>1.62</v>
      </c>
      <c r="Z75" s="28">
        <f>IF(P75&gt;0,ROUND(V75/P75,2),"")</f>
        <v/>
      </c>
      <c r="AA75" s="28" t="n">
        <v>0.143</v>
      </c>
      <c r="AB75" s="28">
        <f>ROUND(T75/MAX(Q75,1),3)</f>
        <v/>
      </c>
      <c r="AC75" s="32" t="inlineStr">
        <is>
          <t>Servings 350-&gt;380 (+9%)</t>
        </is>
      </c>
      <c r="AD75" s="32" t="inlineStr">
        <is>
          <t>Treated like Stake &amp; Kidney Pies, the middle of the 5 most similar EN dishes: you changed it cost -1%, servings +8% (profit ×1.16)</t>
        </is>
      </c>
      <c r="AE75" s="32" t="inlineStr">
        <is>
          <t>Stake &amp; Kidney Pies (EN Lv16: cost -1%, servings +8%)</t>
        </is>
      </c>
      <c r="AF75" s="32" t="inlineStr">
        <is>
          <t>Leg Rolls, Stake &amp; Kidney Pies, Gnasty Gnocchi, Gello Mold, Keblobs</t>
        </is>
      </c>
      <c r="AG75" s="32" t="inlineStr"/>
      <c r="AH75" s="28" t="inlineStr">
        <is>
          <t>$315 · 180m · 240×$3 · 45xp</t>
        </is>
      </c>
      <c r="AI75" s="28" t="inlineStr">
        <is>
          <t>$120 · 180m · 270×$3 · 45xp</t>
        </is>
      </c>
      <c r="AJ75" s="28" t="inlineStr">
        <is>
          <t>2.25 → 3.83</t>
        </is>
      </c>
      <c r="AK75" s="28" t="inlineStr">
        <is>
          <t>もぎたてブロークンハート</t>
        </is>
      </c>
    </row>
    <row r="76">
      <c r="A76" s="28" t="n">
        <v>73</v>
      </c>
      <c r="B76" s="28" t="inlineStr">
        <is>
          <t>Bleeding Hearts</t>
        </is>
      </c>
      <c r="C76" s="28" t="n">
        <v>19</v>
      </c>
      <c r="D76" s="28" t="inlineStr">
        <is>
          <t>Raid recipe</t>
        </is>
      </c>
      <c r="E76" s="28" t="inlineStr">
        <is>
          <t>Bleeding Hearts</t>
        </is>
      </c>
      <c r="F76" s="28" t="inlineStr">
        <is>
          <t>No</t>
        </is>
      </c>
      <c r="G76" s="34" t="inlineStr">
        <is>
          <t>EN pattern: buff</t>
        </is>
      </c>
      <c r="H76" s="30">
        <f>IF(W76&gt;0,X76/W76-1,"")</f>
        <v/>
      </c>
      <c r="I76" s="28" t="inlineStr"/>
      <c r="J76" s="28" t="inlineStr"/>
      <c r="K76" s="31" t="n">
        <v>500</v>
      </c>
      <c r="L76" s="28" t="n">
        <v>440</v>
      </c>
      <c r="M76" s="31" t="n">
        <v>315</v>
      </c>
      <c r="N76" s="28" t="n">
        <v>3</v>
      </c>
      <c r="O76" s="28" t="n">
        <v>80</v>
      </c>
      <c r="P76" s="31" t="n">
        <v>210</v>
      </c>
      <c r="Q76" s="28" t="n">
        <v>440</v>
      </c>
      <c r="R76" s="31" t="n">
        <v>350</v>
      </c>
      <c r="S76" s="28" t="n">
        <v>3</v>
      </c>
      <c r="T76" s="28" t="n">
        <v>80</v>
      </c>
      <c r="U76" s="31" t="n">
        <v>445</v>
      </c>
      <c r="V76" s="31">
        <f>R76*S76-P76</f>
        <v/>
      </c>
      <c r="W76" s="28" t="n">
        <v>1.01</v>
      </c>
      <c r="X76" s="28">
        <f>ROUND(V76/MAX(Q76,1),2)</f>
        <v/>
      </c>
      <c r="Y76" s="28" t="n">
        <v>0.89</v>
      </c>
      <c r="Z76" s="28">
        <f>IF(P76&gt;0,ROUND(V76/P76,2),"")</f>
        <v/>
      </c>
      <c r="AA76" s="28" t="n">
        <v>0.182</v>
      </c>
      <c r="AB76" s="28">
        <f>ROUND(T76/MAX(Q76,1),3)</f>
        <v/>
      </c>
      <c r="AC76" s="32" t="inlineStr">
        <is>
          <t>Cost 500-&gt;210 (-58%); Servings 315-&gt;350 (+11%)</t>
        </is>
      </c>
      <c r="AD76" s="32" t="inlineStr">
        <is>
          <t>Treated like Cremated Brulee, the middle of the 5 most similar EN dishes: you changed it cost -58%, servings +11% (profit ×1.89)</t>
        </is>
      </c>
      <c r="AE76" s="32" t="inlineStr">
        <is>
          <t>Cremated Brulee (EN Lv15: cost -58%, servings +11%)</t>
        </is>
      </c>
      <c r="AF76" s="32" t="inlineStr">
        <is>
          <t>Ape-a-Teaser, Cremated Brulee, Faux Noodles, Khyber-Belt Kebabs, Eyeberry Jelly</t>
        </is>
      </c>
      <c r="AG76" s="32" t="inlineStr"/>
      <c r="AH76" s="28" t="inlineStr">
        <is>
          <t>$3,250 · 1900m · 1150×$4 · 150xp</t>
        </is>
      </c>
      <c r="AI76" s="28" t="inlineStr">
        <is>
          <t>$2,250 · 1900m · 900×$4 · 150xp</t>
        </is>
      </c>
      <c r="AJ76" s="28" t="inlineStr">
        <is>
          <t>0.71 → 0.71</t>
        </is>
      </c>
      <c r="AK76" s="28" t="inlineStr">
        <is>
          <t>おさるの指の前菜</t>
        </is>
      </c>
    </row>
    <row r="77">
      <c r="A77" s="28" t="n">
        <v>74</v>
      </c>
      <c r="B77" s="28" t="inlineStr">
        <is>
          <t>Ghoul Cheese Pizza</t>
        </is>
      </c>
      <c r="C77" s="28" t="n">
        <v>33</v>
      </c>
      <c r="D77" s="28" t="inlineStr">
        <is>
          <t>Level track</t>
        </is>
      </c>
      <c r="E77" s="28" t="inlineStr">
        <is>
          <t>Ghoul Cheese Pizza</t>
        </is>
      </c>
      <c r="F77" s="28" t="inlineStr">
        <is>
          <t>No</t>
        </is>
      </c>
      <c r="G77" s="34" t="inlineStr">
        <is>
          <t>EN pattern: buff</t>
        </is>
      </c>
      <c r="H77" s="30">
        <f>IF(W77&gt;0,X77/W77-1,"")</f>
        <v/>
      </c>
      <c r="I77" s="28" t="inlineStr"/>
      <c r="J77" s="28" t="inlineStr"/>
      <c r="K77" s="31" t="n">
        <v>650</v>
      </c>
      <c r="L77" s="28" t="n">
        <v>610</v>
      </c>
      <c r="M77" s="31" t="n">
        <v>720</v>
      </c>
      <c r="N77" s="28" t="n">
        <v>2</v>
      </c>
      <c r="O77" s="28" t="n">
        <v>100</v>
      </c>
      <c r="P77" s="31" t="n">
        <v>490</v>
      </c>
      <c r="Q77" s="28" t="n">
        <v>610</v>
      </c>
      <c r="R77" s="31" t="n">
        <v>780</v>
      </c>
      <c r="S77" s="28" t="n">
        <v>2</v>
      </c>
      <c r="T77" s="28" t="n">
        <v>100</v>
      </c>
      <c r="U77" s="31" t="n">
        <v>790</v>
      </c>
      <c r="V77" s="31">
        <f>R77*S77-P77</f>
        <v/>
      </c>
      <c r="W77" s="28" t="n">
        <v>1.3</v>
      </c>
      <c r="X77" s="28">
        <f>ROUND(V77/MAX(Q77,1),2)</f>
        <v/>
      </c>
      <c r="Y77" s="28" t="n">
        <v>1.22</v>
      </c>
      <c r="Z77" s="28">
        <f>IF(P77&gt;0,ROUND(V77/P77,2),"")</f>
        <v/>
      </c>
      <c r="AA77" s="28" t="n">
        <v>0.164</v>
      </c>
      <c r="AB77" s="28">
        <f>ROUND(T77/MAX(Q77,1),3)</f>
        <v/>
      </c>
      <c r="AC77" s="32" t="inlineStr">
        <is>
          <t>Cost 650-&gt;490 (-25%); Servings 720-&gt;780 (+8%)</t>
        </is>
      </c>
      <c r="AD77" s="32" t="inlineStr">
        <is>
          <t>Treated like Peanut Butter &amp; Jelly Pizza, the middle of the 5 most similar EN dishes: you changed it cost -25%, servings +9% (profit ×1.27)</t>
        </is>
      </c>
      <c r="AE77" s="32" t="inlineStr">
        <is>
          <t>Peanut Butter &amp; Jelly Pizza (EN Lv42: cost -25%, servings +9%)</t>
        </is>
      </c>
      <c r="AF77" s="32" t="inlineStr">
        <is>
          <t>Beetle in Beetroot Sauce, Peanut Butter &amp; Jelly Pizza, Torn Tripe, Ape-a-Teaser, Burro-itos</t>
        </is>
      </c>
      <c r="AG77" s="32" t="inlineStr"/>
      <c r="AH77" s="28" t="inlineStr">
        <is>
          <t>$500 · 440m · 315×$3 · 80xp</t>
        </is>
      </c>
      <c r="AI77" s="28" t="inlineStr">
        <is>
          <t>$450 · 120m · 240×$5 · 22xp</t>
        </is>
      </c>
      <c r="AJ77" s="28" t="inlineStr">
        <is>
          <t>1.01 → 6.25</t>
        </is>
      </c>
      <c r="AK77" s="28" t="inlineStr">
        <is>
          <t>ロイヤルミル苦ティー</t>
        </is>
      </c>
    </row>
    <row r="78">
      <c r="A78" s="28" t="n">
        <v>75</v>
      </c>
      <c r="B78" s="28" t="inlineStr">
        <is>
          <t>Ape-a-Teaser</t>
        </is>
      </c>
      <c r="C78" s="28" t="n">
        <v>34</v>
      </c>
      <c r="D78" s="28" t="inlineStr">
        <is>
          <t>Level track</t>
        </is>
      </c>
      <c r="E78" s="28" t="inlineStr">
        <is>
          <t>Ape-a-Teaser</t>
        </is>
      </c>
      <c r="F78" s="28" t="inlineStr">
        <is>
          <t>No</t>
        </is>
      </c>
      <c r="G78" s="34" t="inlineStr">
        <is>
          <t>EN pattern: buff</t>
        </is>
      </c>
      <c r="H78" s="30">
        <f>IF(W78&gt;0,X78/W78-1,"")</f>
        <v/>
      </c>
      <c r="I78" s="28" t="inlineStr"/>
      <c r="J78" s="28" t="inlineStr"/>
      <c r="K78" s="31" t="n">
        <v>2200</v>
      </c>
      <c r="L78" s="28" t="n">
        <v>360</v>
      </c>
      <c r="M78" s="31" t="n">
        <v>500</v>
      </c>
      <c r="N78" s="28" t="n">
        <v>6</v>
      </c>
      <c r="O78" s="28" t="n">
        <v>120</v>
      </c>
      <c r="P78" s="31" t="n">
        <v>1600</v>
      </c>
      <c r="Q78" s="28" t="n">
        <v>360</v>
      </c>
      <c r="R78" s="31" t="n">
        <v>535</v>
      </c>
      <c r="S78" s="28" t="n">
        <v>6</v>
      </c>
      <c r="T78" s="28" t="n">
        <v>120</v>
      </c>
      <c r="U78" s="31" t="n">
        <v>800</v>
      </c>
      <c r="V78" s="31">
        <f>R78*S78-P78</f>
        <v/>
      </c>
      <c r="W78" s="28" t="n">
        <v>2.22</v>
      </c>
      <c r="X78" s="28">
        <f>ROUND(V78/MAX(Q78,1),2)</f>
        <v/>
      </c>
      <c r="Y78" s="28" t="n">
        <v>0.36</v>
      </c>
      <c r="Z78" s="28">
        <f>IF(P78&gt;0,ROUND(V78/P78,2),"")</f>
        <v/>
      </c>
      <c r="AA78" s="28" t="n">
        <v>0.333</v>
      </c>
      <c r="AB78" s="28">
        <f>ROUND(T78/MAX(Q78,1),3)</f>
        <v/>
      </c>
      <c r="AC78" s="32" t="inlineStr">
        <is>
          <t>Cost 2,200-&gt;1,600 (-27%); Servings 500-&gt;535 (+7%)</t>
        </is>
      </c>
      <c r="AD78" s="32" t="inlineStr">
        <is>
          <t>Treated like Cracked Ribs, the middle of the 5 most similar EN dishes: you changed it cost -26%, servings +7% (profit ×1.72)</t>
        </is>
      </c>
      <c r="AE78" s="32" t="inlineStr">
        <is>
          <t>Cracked Ribs (EN Lv47: cost -26%, servings +7%)</t>
        </is>
      </c>
      <c r="AF78" s="32" t="inlineStr">
        <is>
          <t>Europan Sea Slugs, Cracked Ribs, Lion's Head Meatballs, Blueberry Fangcake, Net Prawn</t>
        </is>
      </c>
      <c r="AG78" s="32" t="inlineStr"/>
      <c r="AH78" s="28" t="inlineStr">
        <is>
          <t>$500 · 440m · 315×$3 · 80xp</t>
        </is>
      </c>
      <c r="AI78" s="28" t="inlineStr">
        <is>
          <t>$210 · 440m · 350×$3 · 80xp</t>
        </is>
      </c>
      <c r="AJ78" s="28" t="inlineStr">
        <is>
          <t>1.01 → 1.91</t>
        </is>
      </c>
      <c r="AK78" s="28" t="inlineStr">
        <is>
          <t>オオドロチュードロ</t>
        </is>
      </c>
    </row>
    <row r="79">
      <c r="A79" s="28" t="n">
        <v>76</v>
      </c>
      <c r="B79" s="28" t="inlineStr">
        <is>
          <t>Rabid Rabbit</t>
        </is>
      </c>
      <c r="C79" s="28" t="n">
        <v>12</v>
      </c>
      <c r="D79" s="28" t="inlineStr">
        <is>
          <t>Raid recipe (also sold)</t>
        </is>
      </c>
      <c r="E79" s="28" t="inlineStr">
        <is>
          <t>Rabid Rabbit</t>
        </is>
      </c>
      <c r="F79" s="28" t="inlineStr">
        <is>
          <t>No</t>
        </is>
      </c>
      <c r="G79" s="34" t="inlineStr">
        <is>
          <t>EN pattern: buff</t>
        </is>
      </c>
      <c r="H79" s="30">
        <f>IF(W79&gt;0,X79/W79-1,"")</f>
        <v/>
      </c>
      <c r="I79" s="28" t="inlineStr"/>
      <c r="J79" s="28" t="inlineStr"/>
      <c r="K79" s="31" t="n">
        <v>1260</v>
      </c>
      <c r="L79" s="28" t="n">
        <v>470</v>
      </c>
      <c r="M79" s="31" t="n">
        <v>320</v>
      </c>
      <c r="N79" s="28" t="n">
        <v>6</v>
      </c>
      <c r="O79" s="28" t="n">
        <v>85</v>
      </c>
      <c r="P79" s="31" t="n">
        <v>1000</v>
      </c>
      <c r="Q79" s="28" t="n">
        <v>470</v>
      </c>
      <c r="R79" s="31" t="n">
        <v>345</v>
      </c>
      <c r="S79" s="28" t="n">
        <v>6</v>
      </c>
      <c r="T79" s="28" t="n">
        <v>85</v>
      </c>
      <c r="U79" s="31" t="n">
        <v>660</v>
      </c>
      <c r="V79" s="31">
        <f>R79*S79-P79</f>
        <v/>
      </c>
      <c r="W79" s="28" t="n">
        <v>1.4</v>
      </c>
      <c r="X79" s="28">
        <f>ROUND(V79/MAX(Q79,1),2)</f>
        <v/>
      </c>
      <c r="Y79" s="28" t="n">
        <v>0.52</v>
      </c>
      <c r="Z79" s="28">
        <f>IF(P79&gt;0,ROUND(V79/P79,2),"")</f>
        <v/>
      </c>
      <c r="AA79" s="28" t="n">
        <v>0.181</v>
      </c>
      <c r="AB79" s="28">
        <f>ROUND(T79/MAX(Q79,1),3)</f>
        <v/>
      </c>
      <c r="AC79" s="32" t="inlineStr">
        <is>
          <t>Cost 1,260-&gt;1,000 (-21%); Servings 320-&gt;345 (+8%)</t>
        </is>
      </c>
      <c r="AD79" s="32" t="inlineStr">
        <is>
          <t>Treated like Foie Gross, the middle of the 5 most similar EN dishes: you changed it cost -20%, servings +8% (profit ×1.73)</t>
        </is>
      </c>
      <c r="AE79" s="32" t="inlineStr">
        <is>
          <t>Foie Gross (EN Lv18: cost -20%, servings +8%)</t>
        </is>
      </c>
      <c r="AF79" s="32" t="inlineStr">
        <is>
          <t>Foie Gross, Lion's Head Meatballs, Fileted Minion, Fried Snakeroll, Muscles Sprouts</t>
        </is>
      </c>
      <c r="AG79" s="32" t="inlineStr"/>
      <c r="AH79" s="28" t="inlineStr">
        <is>
          <t>$1,350 · 1000m · 650×$4 · 130xp</t>
        </is>
      </c>
      <c r="AI79" s="28" t="inlineStr">
        <is>
          <t>$1,350 · 1000m · 650×$4 · 130xp</t>
        </is>
      </c>
      <c r="AJ79" s="28" t="inlineStr">
        <is>
          <t>1.25 → 1.25</t>
        </is>
      </c>
      <c r="AK79" s="28" t="inlineStr">
        <is>
          <t>憎団子</t>
        </is>
      </c>
    </row>
    <row r="80">
      <c r="A80" s="28" t="n">
        <v>77</v>
      </c>
      <c r="B80" s="28" t="inlineStr">
        <is>
          <t>Festering Hot Chocolate</t>
        </is>
      </c>
      <c r="C80" s="28" t="n">
        <v>5</v>
      </c>
      <c r="D80" s="28" t="inlineStr">
        <is>
          <t>Raid recipe (also sold)</t>
        </is>
      </c>
      <c r="E80" s="28" t="inlineStr">
        <is>
          <t>Festering Hot Chocolate</t>
        </is>
      </c>
      <c r="F80" s="28" t="inlineStr">
        <is>
          <t>No</t>
        </is>
      </c>
      <c r="G80" s="35" t="inlineStr">
        <is>
          <t>EN pattern: hold</t>
        </is>
      </c>
      <c r="H80" s="30">
        <f>IF(W80&gt;0,X80/W80-1,"")</f>
        <v/>
      </c>
      <c r="I80" s="28" t="inlineStr"/>
      <c r="J80" s="28" t="inlineStr"/>
      <c r="K80" s="31" t="n">
        <v>650</v>
      </c>
      <c r="L80" s="28" t="n">
        <v>45</v>
      </c>
      <c r="M80" s="31" t="n">
        <v>120</v>
      </c>
      <c r="N80" s="28" t="n">
        <v>6</v>
      </c>
      <c r="O80" s="28" t="n">
        <v>40</v>
      </c>
      <c r="P80" s="31" t="n">
        <v>650</v>
      </c>
      <c r="Q80" s="28" t="n">
        <v>45</v>
      </c>
      <c r="R80" s="31" t="n">
        <v>120</v>
      </c>
      <c r="S80" s="28" t="n">
        <v>6</v>
      </c>
      <c r="T80" s="28" t="n">
        <v>40</v>
      </c>
      <c r="U80" s="31" t="n">
        <v>70</v>
      </c>
      <c r="V80" s="31">
        <f>R80*S80-P80</f>
        <v/>
      </c>
      <c r="W80" s="28" t="n">
        <v>1.56</v>
      </c>
      <c r="X80" s="28">
        <f>ROUND(V80/MAX(Q80,1),2)</f>
        <v/>
      </c>
      <c r="Y80" s="28" t="n">
        <v>0.11</v>
      </c>
      <c r="Z80" s="28">
        <f>IF(P80&gt;0,ROUND(V80/P80,2),"")</f>
        <v/>
      </c>
      <c r="AA80" s="28" t="n">
        <v>0.889</v>
      </c>
      <c r="AB80" s="28">
        <f>ROUND(T80/MAX(Q80,1),3)</f>
        <v/>
      </c>
      <c r="AC80" s="32" t="inlineStr">
        <is>
          <t>—</t>
        </is>
      </c>
      <c r="AD80" s="32" t="inlineStr">
        <is>
          <t>Treated like Dracooler, the middle of the 5 most similar EN dishes: you left it unchanged</t>
        </is>
      </c>
      <c r="AE80" s="32" t="inlineStr">
        <is>
          <t>Dracooler (EN Lv13: unchanged)</t>
        </is>
      </c>
      <c r="AF80" s="32" t="inlineStr">
        <is>
          <t>Hunch-Back Roast, Brine Shrimp Cocktail, Dracooler, Head Cheesesteak, Green-plate Special</t>
        </is>
      </c>
      <c r="AG80" s="32" t="inlineStr"/>
      <c r="AH80" s="28" t="inlineStr">
        <is>
          <t>$800 · 460m · 400×$5 · 150xp</t>
        </is>
      </c>
      <c r="AI80" s="28" t="inlineStr">
        <is>
          <t>$800 · 460m · 425×$5 · 150xp</t>
        </is>
      </c>
      <c r="AJ80" s="28" t="inlineStr">
        <is>
          <t>2.61 → 2.88</t>
        </is>
      </c>
      <c r="AK80" s="28" t="inlineStr">
        <is>
          <t>大恨もち</t>
        </is>
      </c>
    </row>
    <row r="81">
      <c r="A81" s="28" t="n">
        <v>78</v>
      </c>
      <c r="B81" s="28" t="inlineStr">
        <is>
          <t>Leperoni Pizza</t>
        </is>
      </c>
      <c r="C81" s="28" t="n">
        <v>35</v>
      </c>
      <c r="D81" s="28" t="inlineStr">
        <is>
          <t>Level track</t>
        </is>
      </c>
      <c r="E81" s="28" t="inlineStr">
        <is>
          <t>Leperoni Pizza</t>
        </is>
      </c>
      <c r="F81" s="28" t="inlineStr">
        <is>
          <t>No</t>
        </is>
      </c>
      <c r="G81" s="34" t="inlineStr">
        <is>
          <t>EN pattern: buff</t>
        </is>
      </c>
      <c r="H81" s="30">
        <f>IF(W81&gt;0,X81/W81-1,"")</f>
        <v/>
      </c>
      <c r="I81" s="28" t="inlineStr"/>
      <c r="J81" s="28" t="inlineStr"/>
      <c r="K81" s="31" t="n">
        <v>1500</v>
      </c>
      <c r="L81" s="28" t="n">
        <v>500</v>
      </c>
      <c r="M81" s="31" t="n">
        <v>320</v>
      </c>
      <c r="N81" s="28" t="n">
        <v>6</v>
      </c>
      <c r="O81" s="28" t="n">
        <v>95</v>
      </c>
      <c r="P81" s="31" t="n">
        <v>1050</v>
      </c>
      <c r="Q81" s="28" t="n">
        <v>500</v>
      </c>
      <c r="R81" s="31" t="n">
        <v>350</v>
      </c>
      <c r="S81" s="28" t="n">
        <v>6</v>
      </c>
      <c r="T81" s="28" t="n">
        <v>95</v>
      </c>
      <c r="U81" s="31" t="n">
        <v>420</v>
      </c>
      <c r="V81" s="31">
        <f>R81*S81-P81</f>
        <v/>
      </c>
      <c r="W81" s="28" t="n">
        <v>0.84</v>
      </c>
      <c r="X81" s="28">
        <f>ROUND(V81/MAX(Q81,1),2)</f>
        <v/>
      </c>
      <c r="Y81" s="28" t="n">
        <v>0.28</v>
      </c>
      <c r="Z81" s="28">
        <f>IF(P81&gt;0,ROUND(V81/P81,2),"")</f>
        <v/>
      </c>
      <c r="AA81" s="28" t="n">
        <v>0.19</v>
      </c>
      <c r="AB81" s="28">
        <f>ROUND(T81/MAX(Q81,1),3)</f>
        <v/>
      </c>
      <c r="AC81" s="32" t="inlineStr">
        <is>
          <t>Cost 1,500-&gt;1,050 (-30%); Servings 320-&gt;350 (+9%)</t>
        </is>
      </c>
      <c r="AD81" s="32" t="inlineStr">
        <is>
          <t>Treated like Lion's Head Meatballs, the middle of the 5 most similar EN dishes: you changed it cost -29%, servings +9% (profit ×1.83)</t>
        </is>
      </c>
      <c r="AE81" s="32" t="inlineStr">
        <is>
          <t>Lion's Head Meatballs (EN Lv30: cost -29%, servings +9%)</t>
        </is>
      </c>
      <c r="AF81" s="32" t="inlineStr">
        <is>
          <t>Rotten-Apple Pie, Fish Fingers, Cockroach Calzone, Fileted Minion, Lion's Head Meatballs</t>
        </is>
      </c>
      <c r="AG81" s="32" t="inlineStr"/>
      <c r="AH81" s="28" t="inlineStr">
        <is>
          <t>$1,220 · 860m · 600×$4 · 135xp</t>
        </is>
      </c>
      <c r="AI81" s="28" t="inlineStr">
        <is>
          <t>$1,220 · 860m · 600×$4 · 135xp</t>
        </is>
      </c>
      <c r="AJ81" s="28" t="inlineStr">
        <is>
          <t>1.37 → 1.37</t>
        </is>
      </c>
      <c r="AK81" s="28" t="inlineStr">
        <is>
          <t>毒ラムチャウダー</t>
        </is>
      </c>
    </row>
    <row r="82">
      <c r="A82" s="28" t="n">
        <v>79</v>
      </c>
      <c r="B82" s="28" t="inlineStr">
        <is>
          <t>Meatish Sweetballs</t>
        </is>
      </c>
      <c r="C82" s="28" t="n">
        <v>36</v>
      </c>
      <c r="D82" s="28" t="inlineStr">
        <is>
          <t>Level track</t>
        </is>
      </c>
      <c r="E82" s="28" t="inlineStr">
        <is>
          <t>Meatish Sweetballs</t>
        </is>
      </c>
      <c r="F82" s="28" t="inlineStr">
        <is>
          <t>No</t>
        </is>
      </c>
      <c r="G82" s="34" t="inlineStr">
        <is>
          <t>EN pattern: buff</t>
        </is>
      </c>
      <c r="H82" s="30">
        <f>IF(W82&gt;0,X82/W82-1,"")</f>
        <v/>
      </c>
      <c r="I82" s="28" t="inlineStr"/>
      <c r="J82" s="28" t="inlineStr"/>
      <c r="K82" s="31" t="n">
        <v>820</v>
      </c>
      <c r="L82" s="28" t="n">
        <v>480</v>
      </c>
      <c r="M82" s="31" t="n">
        <v>830</v>
      </c>
      <c r="N82" s="28" t="n">
        <v>2</v>
      </c>
      <c r="O82" s="28" t="n">
        <v>80</v>
      </c>
      <c r="P82" s="31" t="n">
        <v>530</v>
      </c>
      <c r="Q82" s="28" t="n">
        <v>480</v>
      </c>
      <c r="R82" s="31" t="n">
        <v>900</v>
      </c>
      <c r="S82" s="28" t="n">
        <v>2</v>
      </c>
      <c r="T82" s="28" t="n">
        <v>80</v>
      </c>
      <c r="U82" s="31" t="n">
        <v>840</v>
      </c>
      <c r="V82" s="31">
        <f>R82*S82-P82</f>
        <v/>
      </c>
      <c r="W82" s="28" t="n">
        <v>1.75</v>
      </c>
      <c r="X82" s="28">
        <f>ROUND(V82/MAX(Q82,1),2)</f>
        <v/>
      </c>
      <c r="Y82" s="28" t="n">
        <v>1.02</v>
      </c>
      <c r="Z82" s="28">
        <f>IF(P82&gt;0,ROUND(V82/P82,2),"")</f>
        <v/>
      </c>
      <c r="AA82" s="28" t="n">
        <v>0.167</v>
      </c>
      <c r="AB82" s="28">
        <f>ROUND(T82/MAX(Q82,1),3)</f>
        <v/>
      </c>
      <c r="AC82" s="32" t="inlineStr">
        <is>
          <t>Cost 820-&gt;530 (-35%); Servings 830-&gt;900 (+8%)</t>
        </is>
      </c>
      <c r="AD82" s="32" t="inlineStr">
        <is>
          <t>Treated like Torn Tripe, the middle of the 5 most similar EN dishes: you changed it cost -35%, servings +9% (profit ×1.35)</t>
        </is>
      </c>
      <c r="AE82" s="32" t="inlineStr">
        <is>
          <t>Torn Tripe (EN Lv49: cost -35%, servings +9%)</t>
        </is>
      </c>
      <c r="AF82" s="32" t="inlineStr">
        <is>
          <t>Meatzza, Nukes'n Puke, Peanut Butter &amp; Jelly Pizza, Torn Tripe, English Breakfast Pizza</t>
        </is>
      </c>
      <c r="AG82" s="32" t="inlineStr"/>
      <c r="AH82" s="28" t="inlineStr">
        <is>
          <t>$950 · 700m · 650×$3 · 108xp</t>
        </is>
      </c>
      <c r="AI82" s="28" t="inlineStr">
        <is>
          <t>$690 · 700m · 650×$3 · 108xp</t>
        </is>
      </c>
      <c r="AJ82" s="28" t="inlineStr">
        <is>
          <t>1.43 → 1.80</t>
        </is>
      </c>
      <c r="AK82" s="28" t="inlineStr">
        <is>
          <t>謎のせむし焼き</t>
        </is>
      </c>
    </row>
    <row r="83">
      <c r="A83" s="28" t="n">
        <v>80</v>
      </c>
      <c r="B83" s="28" t="inlineStr">
        <is>
          <t>Riga Tony</t>
        </is>
      </c>
      <c r="C83" s="28" t="n">
        <v>11</v>
      </c>
      <c r="D83" s="28" t="inlineStr">
        <is>
          <t>Raid recipe</t>
        </is>
      </c>
      <c r="E83" s="28" t="inlineStr">
        <is>
          <t>Riga Tony</t>
        </is>
      </c>
      <c r="F83" s="28" t="inlineStr">
        <is>
          <t>No</t>
        </is>
      </c>
      <c r="G83" s="35" t="inlineStr">
        <is>
          <t>EN pattern: hold</t>
        </is>
      </c>
      <c r="H83" s="30">
        <f>IF(W83&gt;0,X83/W83-1,"")</f>
        <v/>
      </c>
      <c r="I83" s="28" t="inlineStr"/>
      <c r="J83" s="28" t="inlineStr"/>
      <c r="K83" s="31" t="n">
        <v>520</v>
      </c>
      <c r="L83" s="28" t="n">
        <v>60</v>
      </c>
      <c r="M83" s="31" t="n">
        <v>75</v>
      </c>
      <c r="N83" s="28" t="n">
        <v>8</v>
      </c>
      <c r="O83" s="28" t="n">
        <v>30</v>
      </c>
      <c r="P83" s="31" t="n">
        <v>520</v>
      </c>
      <c r="Q83" s="28" t="n">
        <v>60</v>
      </c>
      <c r="R83" s="31" t="n">
        <v>75</v>
      </c>
      <c r="S83" s="28" t="n">
        <v>8</v>
      </c>
      <c r="T83" s="28" t="n">
        <v>30</v>
      </c>
      <c r="U83" s="31" t="n">
        <v>80</v>
      </c>
      <c r="V83" s="31">
        <f>R83*S83-P83</f>
        <v/>
      </c>
      <c r="W83" s="28" t="n">
        <v>1.33</v>
      </c>
      <c r="X83" s="28">
        <f>ROUND(V83/MAX(Q83,1),2)</f>
        <v/>
      </c>
      <c r="Y83" s="28" t="n">
        <v>0.15</v>
      </c>
      <c r="Z83" s="28">
        <f>IF(P83&gt;0,ROUND(V83/P83,2),"")</f>
        <v/>
      </c>
      <c r="AA83" s="28" t="n">
        <v>0.5</v>
      </c>
      <c r="AB83" s="28">
        <f>ROUND(T83/MAX(Q83,1),3)</f>
        <v/>
      </c>
      <c r="AC83" s="32" t="inlineStr">
        <is>
          <t>—</t>
        </is>
      </c>
      <c r="AD83" s="32" t="inlineStr">
        <is>
          <t>Treated like Tofu Brain, the middle of the 5 most similar EN dishes: you left it unchanged</t>
        </is>
      </c>
      <c r="AE83" s="32" t="inlineStr">
        <is>
          <t>Tofu Brain (EN Lv7: unchanged)</t>
        </is>
      </c>
      <c r="AF83" s="32" t="inlineStr">
        <is>
          <t>Hunch-Back Roast, Brine Shrimp Cocktail, Stake Tar-Tar, Toxic Trifle, Tofu Brain</t>
        </is>
      </c>
      <c r="AG83" s="32" t="inlineStr"/>
      <c r="AH83" s="28" t="inlineStr">
        <is>
          <t>$2,075 · 1200m · 830×$5 · 155xp</t>
        </is>
      </c>
      <c r="AI83" s="28" t="inlineStr">
        <is>
          <t>$2,075 · 1200m · 830×$5 · 155xp</t>
        </is>
      </c>
      <c r="AJ83" s="28" t="inlineStr">
        <is>
          <t>1.73 → 1.73</t>
        </is>
      </c>
      <c r="AK83" s="28" t="inlineStr">
        <is>
          <t>ツィートローフ</t>
        </is>
      </c>
    </row>
    <row r="84">
      <c r="A84" s="28" t="n">
        <v>81</v>
      </c>
      <c r="B84" s="28" t="inlineStr">
        <is>
          <t>Bangers &amp; Mush</t>
        </is>
      </c>
      <c r="C84" s="28" t="n">
        <v>24</v>
      </c>
      <c r="D84" s="28" t="inlineStr">
        <is>
          <t>Raid recipe</t>
        </is>
      </c>
      <c r="E84" s="28" t="inlineStr">
        <is>
          <t>Bangers &amp; Mush</t>
        </is>
      </c>
      <c r="F84" s="28" t="inlineStr">
        <is>
          <t>No</t>
        </is>
      </c>
      <c r="G84" s="34" t="inlineStr">
        <is>
          <t>EN pattern: buff</t>
        </is>
      </c>
      <c r="H84" s="30">
        <f>IF(W84&gt;0,X84/W84-1,"")</f>
        <v/>
      </c>
      <c r="I84" s="28" t="inlineStr"/>
      <c r="J84" s="28" t="inlineStr"/>
      <c r="K84" s="31" t="n">
        <v>1040</v>
      </c>
      <c r="L84" s="28" t="n">
        <v>120</v>
      </c>
      <c r="M84" s="31" t="n">
        <v>150</v>
      </c>
      <c r="N84" s="28" t="n">
        <v>8</v>
      </c>
      <c r="O84" s="28" t="n">
        <v>60</v>
      </c>
      <c r="P84" s="31" t="n">
        <v>740</v>
      </c>
      <c r="Q84" s="28" t="n">
        <v>120</v>
      </c>
      <c r="R84" s="31" t="n">
        <v>150</v>
      </c>
      <c r="S84" s="28" t="n">
        <v>8</v>
      </c>
      <c r="T84" s="28" t="n">
        <v>60</v>
      </c>
      <c r="U84" s="31" t="n">
        <v>160</v>
      </c>
      <c r="V84" s="31">
        <f>R84*S84-P84</f>
        <v/>
      </c>
      <c r="W84" s="28" t="n">
        <v>1.33</v>
      </c>
      <c r="X84" s="28">
        <f>ROUND(V84/MAX(Q84,1),2)</f>
        <v/>
      </c>
      <c r="Y84" s="28" t="n">
        <v>0.15</v>
      </c>
      <c r="Z84" s="28">
        <f>IF(P84&gt;0,ROUND(V84/P84,2),"")</f>
        <v/>
      </c>
      <c r="AA84" s="28" t="n">
        <v>0.5</v>
      </c>
      <c r="AB84" s="28">
        <f>ROUND(T84/MAX(Q84,1),3)</f>
        <v/>
      </c>
      <c r="AC84" s="32" t="inlineStr">
        <is>
          <t>Cost 1,040-&gt;740 (-29%)</t>
        </is>
      </c>
      <c r="AD84" s="32" t="inlineStr">
        <is>
          <t>Treated like Net Prawn, the middle of the 5 most similar EN dishes: you changed it cost -28% (profit ×1.77)</t>
        </is>
      </c>
      <c r="AE84" s="32" t="inlineStr">
        <is>
          <t>Net Prawn (EN Lv24: cost -28%)</t>
        </is>
      </c>
      <c r="AF84" s="32" t="inlineStr">
        <is>
          <t>Toxic Trifle, Stake Tar-Tar, Dracooler, Net Prawn, Brine Shrimp Cocktail</t>
        </is>
      </c>
      <c r="AG84" s="32" t="inlineStr"/>
      <c r="AH84" s="28" t="inlineStr">
        <is>
          <t>$1,400 · 1080m · 650×$3 · 130xp</t>
        </is>
      </c>
      <c r="AI84" s="28" t="inlineStr">
        <is>
          <t>$1,150 · 1080m · 700×$3 · 130xp</t>
        </is>
      </c>
      <c r="AJ84" s="28" t="inlineStr">
        <is>
          <t>0.51 → 0.88</t>
        </is>
      </c>
      <c r="AK84" s="28" t="inlineStr">
        <is>
          <t>ムシ食いアップルパイ</t>
        </is>
      </c>
    </row>
    <row r="85">
      <c r="A85" s="28" t="n">
        <v>82</v>
      </c>
      <c r="B85" s="28" t="inlineStr">
        <is>
          <t>Bread &amp; Brains Spread</t>
        </is>
      </c>
      <c r="C85" s="28" t="n">
        <v>27</v>
      </c>
      <c r="D85" s="28" t="inlineStr">
        <is>
          <t>Raid recipe (also sold)</t>
        </is>
      </c>
      <c r="E85" s="28" t="inlineStr">
        <is>
          <t>Bread &amp; Brains Spread</t>
        </is>
      </c>
      <c r="F85" s="28" t="inlineStr">
        <is>
          <t>No</t>
        </is>
      </c>
      <c r="G85" s="35" t="inlineStr">
        <is>
          <t>EN pattern: hold</t>
        </is>
      </c>
      <c r="H85" s="30">
        <f>IF(W85&gt;0,X85/W85-1,"")</f>
        <v/>
      </c>
      <c r="I85" s="28" t="inlineStr"/>
      <c r="J85" s="28" t="inlineStr"/>
      <c r="K85" s="31" t="n">
        <v>1500</v>
      </c>
      <c r="L85" s="28" t="n">
        <v>720</v>
      </c>
      <c r="M85" s="31" t="n">
        <v>1000</v>
      </c>
      <c r="N85" s="28" t="n">
        <v>6</v>
      </c>
      <c r="O85" s="28" t="n">
        <v>130</v>
      </c>
      <c r="P85" s="31" t="n">
        <v>1500</v>
      </c>
      <c r="Q85" s="28" t="n">
        <v>720</v>
      </c>
      <c r="R85" s="31" t="n">
        <v>1000</v>
      </c>
      <c r="S85" s="28" t="n">
        <v>6</v>
      </c>
      <c r="T85" s="28" t="n">
        <v>130</v>
      </c>
      <c r="U85" s="31" t="n">
        <v>4500</v>
      </c>
      <c r="V85" s="31">
        <f>R85*S85-P85</f>
        <v/>
      </c>
      <c r="W85" s="28" t="n">
        <v>6.25</v>
      </c>
      <c r="X85" s="28">
        <f>ROUND(V85/MAX(Q85,1),2)</f>
        <v/>
      </c>
      <c r="Y85" s="28" t="n">
        <v>3</v>
      </c>
      <c r="Z85" s="28">
        <f>IF(P85&gt;0,ROUND(V85/P85,2),"")</f>
        <v/>
      </c>
      <c r="AA85" s="28" t="n">
        <v>0.181</v>
      </c>
      <c r="AB85" s="28">
        <f>ROUND(T85/MAX(Q85,1),3)</f>
        <v/>
      </c>
      <c r="AC85" s="32" t="inlineStr">
        <is>
          <t>—</t>
        </is>
      </c>
      <c r="AD85" s="32" t="inlineStr">
        <is>
          <t>Treated like Toads &amp; Tofu, the middle of the 5 most similar EN dishes: you changed it servings +7% (profit ×1.10)</t>
        </is>
      </c>
      <c r="AE85" s="32" t="inlineStr">
        <is>
          <t>Toads &amp; Tofu (EN Lv57: servings +7%)</t>
        </is>
      </c>
      <c r="AF85" s="32" t="inlineStr">
        <is>
          <t>Dark Matter Loaf, Chicken Fried Snake, Chili Chili Bang Bang, Kidney Pie, Toads &amp; Tofu</t>
        </is>
      </c>
      <c r="AG85" s="32" t="inlineStr">
        <is>
          <t>Quick-cash dish already (6.2 $/min)</t>
        </is>
      </c>
      <c r="AH85" s="28" t="inlineStr">
        <is>
          <t>$360 · 500m · 250×$3 · 55xp</t>
        </is>
      </c>
      <c r="AI85" s="28" t="inlineStr">
        <is>
          <t>$210 · 500m · 250×$3 · 55xp</t>
        </is>
      </c>
      <c r="AJ85" s="28" t="inlineStr">
        <is>
          <t>0.78 → 1.08</t>
        </is>
      </c>
      <c r="AK85" s="28" t="inlineStr">
        <is>
          <t>プッキン！ダック</t>
        </is>
      </c>
    </row>
    <row r="86">
      <c r="A86" s="28" t="n">
        <v>83</v>
      </c>
      <c r="B86" s="28" t="inlineStr">
        <is>
          <t>Beetle in Beetroot Sauce</t>
        </is>
      </c>
      <c r="C86" s="28" t="n">
        <v>37</v>
      </c>
      <c r="D86" s="28" t="inlineStr">
        <is>
          <t>Level track</t>
        </is>
      </c>
      <c r="E86" s="28" t="inlineStr">
        <is>
          <t>Beetle in Beetroot Sauce</t>
        </is>
      </c>
      <c r="F86" s="28" t="inlineStr">
        <is>
          <t>No</t>
        </is>
      </c>
      <c r="G86" s="35" t="inlineStr">
        <is>
          <t>EN pattern: hold</t>
        </is>
      </c>
      <c r="H86" s="30">
        <f>IF(W86&gt;0,X86/W86-1,"")</f>
        <v/>
      </c>
      <c r="I86" s="28" t="inlineStr"/>
      <c r="J86" s="28" t="inlineStr"/>
      <c r="K86" s="31" t="n">
        <v>100</v>
      </c>
      <c r="L86" s="28" t="n">
        <v>2</v>
      </c>
      <c r="M86" s="31" t="n">
        <v>24</v>
      </c>
      <c r="N86" s="28" t="n">
        <v>6</v>
      </c>
      <c r="O86" s="28" t="n">
        <v>7</v>
      </c>
      <c r="P86" s="31" t="n">
        <v>100</v>
      </c>
      <c r="Q86" s="28" t="n">
        <v>2</v>
      </c>
      <c r="R86" s="31" t="n">
        <v>24</v>
      </c>
      <c r="S86" s="28" t="n">
        <v>6</v>
      </c>
      <c r="T86" s="28" t="n">
        <v>7</v>
      </c>
      <c r="U86" s="31" t="n">
        <v>44</v>
      </c>
      <c r="V86" s="31">
        <f>R86*S86-P86</f>
        <v/>
      </c>
      <c r="W86" s="28" t="n">
        <v>22</v>
      </c>
      <c r="X86" s="28">
        <f>ROUND(V86/MAX(Q86,1),2)</f>
        <v/>
      </c>
      <c r="Y86" s="28" t="n">
        <v>0.44</v>
      </c>
      <c r="Z86" s="28">
        <f>IF(P86&gt;0,ROUND(V86/P86,2),"")</f>
        <v/>
      </c>
      <c r="AA86" s="28" t="n">
        <v>3.5</v>
      </c>
      <c r="AB86" s="28">
        <f>ROUND(T86/MAX(Q86,1),3)</f>
        <v/>
      </c>
      <c r="AC86" s="32" t="inlineStr">
        <is>
          <t>—</t>
        </is>
      </c>
      <c r="AD86" s="32" t="inlineStr">
        <is>
          <t>Treated like Boiled Mystery Meat, the middle of the 5 most similar EN dishes: you left it unchanged</t>
        </is>
      </c>
      <c r="AE86" s="32" t="inlineStr">
        <is>
          <t>Boiled Mystery Meat (EN Lv35: unchanged)</t>
        </is>
      </c>
      <c r="AF86" s="32" t="inlineStr">
        <is>
          <t>Lady Fingers, Tainted Sparkling Water, Mice Pudding, Boiled Mystery Meat, Stewed Ox Cheek</t>
        </is>
      </c>
      <c r="AG86" s="32" t="inlineStr">
        <is>
          <t>Loose match: no EN dish is very close; Quick-cash dish already (22.0 $/min); XP outlier (3.5 XP/min)</t>
        </is>
      </c>
      <c r="AH86" s="28" t="inlineStr">
        <is>
          <t>$670 · 600m · 680×$2 · 90xp</t>
        </is>
      </c>
      <c r="AI86" s="28" t="inlineStr">
        <is>
          <t>$670 · 600m · 700×$2 · 90xp</t>
        </is>
      </c>
      <c r="AJ86" s="28" t="inlineStr">
        <is>
          <t>1.15 → 1.22</t>
        </is>
      </c>
      <c r="AK86" s="28" t="inlineStr">
        <is>
          <t>身たらし団子</t>
        </is>
      </c>
    </row>
    <row r="87">
      <c r="A87" s="28" t="n">
        <v>84</v>
      </c>
      <c r="B87" s="28" t="inlineStr">
        <is>
          <t>Spiderello</t>
        </is>
      </c>
      <c r="C87" s="28" t="n">
        <v>11</v>
      </c>
      <c r="D87" s="28" t="inlineStr">
        <is>
          <t>Raid recipe (also sold)</t>
        </is>
      </c>
      <c r="E87" s="28" t="inlineStr">
        <is>
          <t>Spiderello</t>
        </is>
      </c>
      <c r="F87" s="28" t="inlineStr">
        <is>
          <t>No</t>
        </is>
      </c>
      <c r="G87" s="34" t="inlineStr">
        <is>
          <t>EN pattern: buff</t>
        </is>
      </c>
      <c r="H87" s="30">
        <f>IF(W87&gt;0,X87/W87-1,"")</f>
        <v/>
      </c>
      <c r="I87" s="28" t="inlineStr"/>
      <c r="J87" s="28" t="inlineStr"/>
      <c r="K87" s="31" t="n">
        <v>3000</v>
      </c>
      <c r="L87" s="28" t="n">
        <v>1850</v>
      </c>
      <c r="M87" s="31" t="n">
        <v>1100</v>
      </c>
      <c r="N87" s="28" t="n">
        <v>5</v>
      </c>
      <c r="O87" s="28" t="n">
        <v>200</v>
      </c>
      <c r="P87" s="31" t="n">
        <v>1700</v>
      </c>
      <c r="Q87" s="28" t="n">
        <v>1850</v>
      </c>
      <c r="R87" s="31" t="n">
        <v>1100</v>
      </c>
      <c r="S87" s="28" t="n">
        <v>5</v>
      </c>
      <c r="T87" s="28" t="n">
        <v>200</v>
      </c>
      <c r="U87" s="31" t="n">
        <v>2500</v>
      </c>
      <c r="V87" s="31">
        <f>R87*S87-P87</f>
        <v/>
      </c>
      <c r="W87" s="28" t="n">
        <v>1.35</v>
      </c>
      <c r="X87" s="28">
        <f>ROUND(V87/MAX(Q87,1),2)</f>
        <v/>
      </c>
      <c r="Y87" s="28" t="n">
        <v>0.83</v>
      </c>
      <c r="Z87" s="28">
        <f>IF(P87&gt;0,ROUND(V87/P87,2),"")</f>
        <v/>
      </c>
      <c r="AA87" s="28" t="n">
        <v>0.108</v>
      </c>
      <c r="AB87" s="28">
        <f>ROUND(T87/MAX(Q87,1),3)</f>
        <v/>
      </c>
      <c r="AC87" s="32" t="inlineStr">
        <is>
          <t>Cost 3,000-&gt;1,700 (-43%)</t>
        </is>
      </c>
      <c r="AD87" s="32" t="inlineStr">
        <is>
          <t>Treated like Snot Cross Buns, the middle of the 5 most similar EN dishes: you changed it cost -43%, servings -27% (profit ×1.00)</t>
        </is>
      </c>
      <c r="AE87" s="32" t="inlineStr">
        <is>
          <t>Snot Cross Buns (EN Lv17: cost -43%, servings -27%)</t>
        </is>
      </c>
      <c r="AF87" s="32" t="inlineStr">
        <is>
          <t>Shamrock Shake, Red Dragon, Snot Cross Buns, Mourned Beef and Cabbage, Bul-goo-gi</t>
        </is>
      </c>
      <c r="AG87" s="32" t="inlineStr"/>
      <c r="AH87" s="28" t="inlineStr">
        <is>
          <t>$850 · 350m · 480×$4 · 85xp</t>
        </is>
      </c>
      <c r="AI87" s="28" t="inlineStr">
        <is>
          <t>$850 · 350m · 500×$4 · 85xp</t>
        </is>
      </c>
      <c r="AJ87" s="28" t="inlineStr">
        <is>
          <t>3.06 → 3.29</t>
        </is>
      </c>
      <c r="AK87" s="28" t="inlineStr">
        <is>
          <t>ゾンビ豚のクローバーソース</t>
        </is>
      </c>
    </row>
    <row r="88">
      <c r="A88" s="28" t="n">
        <v>85</v>
      </c>
      <c r="B88" s="28" t="inlineStr">
        <is>
          <t>Fried Snakeroll</t>
        </is>
      </c>
      <c r="C88" s="28" t="n">
        <v>23</v>
      </c>
      <c r="D88" s="28" t="inlineStr">
        <is>
          <t>Raid recipe (also sold)</t>
        </is>
      </c>
      <c r="E88" s="28" t="inlineStr">
        <is>
          <t>Fried Snakeroll</t>
        </is>
      </c>
      <c r="F88" s="28" t="inlineStr">
        <is>
          <t>No</t>
        </is>
      </c>
      <c r="G88" s="35" t="inlineStr">
        <is>
          <t>EN pattern: hold</t>
        </is>
      </c>
      <c r="H88" s="30">
        <f>IF(W88&gt;0,X88/W88-1,"")</f>
        <v/>
      </c>
      <c r="I88" s="28" t="inlineStr"/>
      <c r="J88" s="28" t="inlineStr"/>
      <c r="K88" s="31" t="n">
        <v>2500</v>
      </c>
      <c r="L88" s="28" t="n">
        <v>1800</v>
      </c>
      <c r="M88" s="31" t="n">
        <v>1050</v>
      </c>
      <c r="N88" s="28" t="n">
        <v>4</v>
      </c>
      <c r="O88" s="28" t="n">
        <v>150</v>
      </c>
      <c r="P88" s="31" t="n">
        <v>2500</v>
      </c>
      <c r="Q88" s="28" t="n">
        <v>1800</v>
      </c>
      <c r="R88" s="31" t="n">
        <v>1050</v>
      </c>
      <c r="S88" s="28" t="n">
        <v>4</v>
      </c>
      <c r="T88" s="28" t="n">
        <v>150</v>
      </c>
      <c r="U88" s="31" t="n">
        <v>1700</v>
      </c>
      <c r="V88" s="31">
        <f>R88*S88-P88</f>
        <v/>
      </c>
      <c r="W88" s="28" t="n">
        <v>0.9399999999999999</v>
      </c>
      <c r="X88" s="28">
        <f>ROUND(V88/MAX(Q88,1),2)</f>
        <v/>
      </c>
      <c r="Y88" s="28" t="n">
        <v>0.68</v>
      </c>
      <c r="Z88" s="28">
        <f>IF(P88&gt;0,ROUND(V88/P88,2),"")</f>
        <v/>
      </c>
      <c r="AA88" s="28" t="n">
        <v>0.083</v>
      </c>
      <c r="AB88" s="28">
        <f>ROUND(T88/MAX(Q88,1),3)</f>
        <v/>
      </c>
      <c r="AC88" s="32" t="inlineStr">
        <is>
          <t>—</t>
        </is>
      </c>
      <c r="AD88" s="32" t="inlineStr">
        <is>
          <t>Treated like Mourned Beef and Cabbage, the middle of the 5 most similar EN dishes: you left it unchanged</t>
        </is>
      </c>
      <c r="AE88" s="32" t="inlineStr">
        <is>
          <t>Mourned Beef and Cabbage (EN Lv14: unchanged)</t>
        </is>
      </c>
      <c r="AF88" s="32" t="inlineStr">
        <is>
          <t>Snot Cross Buns, Shamrock Shake, Mourned Beef and Cabbage, Bul-goo-gi, Bleeding Hearts</t>
        </is>
      </c>
      <c r="AG88" s="32" t="inlineStr"/>
      <c r="AH88" s="28" t="inlineStr">
        <is>
          <t>$1,000 · 600m · 400×$5 · 88xp</t>
        </is>
      </c>
      <c r="AI88" s="28" t="inlineStr">
        <is>
          <t>$1,000 · 600m · 400×$5 · 88xp</t>
        </is>
      </c>
      <c r="AJ88" s="28" t="inlineStr">
        <is>
          <t>1.67 → 1.67</t>
        </is>
      </c>
      <c r="AK88" s="28" t="inlineStr">
        <is>
          <t>コケ味シェイク</t>
        </is>
      </c>
    </row>
    <row r="89">
      <c r="A89" s="28" t="n">
        <v>86</v>
      </c>
      <c r="B89" s="28" t="inlineStr">
        <is>
          <t>Jumble Eye-ah</t>
        </is>
      </c>
      <c r="C89" s="28" t="n">
        <v>38</v>
      </c>
      <c r="D89" s="28" t="inlineStr">
        <is>
          <t>Level track</t>
        </is>
      </c>
      <c r="E89" s="28" t="inlineStr">
        <is>
          <t>Jumble Eye-ah</t>
        </is>
      </c>
      <c r="F89" s="28" t="inlineStr">
        <is>
          <t>No</t>
        </is>
      </c>
      <c r="G89" s="34" t="inlineStr">
        <is>
          <t>EN pattern: buff</t>
        </is>
      </c>
      <c r="H89" s="30">
        <f>IF(W89&gt;0,X89/W89-1,"")</f>
        <v/>
      </c>
      <c r="I89" s="28" t="inlineStr"/>
      <c r="J89" s="28" t="inlineStr"/>
      <c r="K89" s="31" t="n">
        <v>3300</v>
      </c>
      <c r="L89" s="28" t="n">
        <v>1920</v>
      </c>
      <c r="M89" s="31" t="n">
        <v>1200</v>
      </c>
      <c r="N89" s="28" t="n">
        <v>4</v>
      </c>
      <c r="O89" s="28" t="n">
        <v>145</v>
      </c>
      <c r="P89" s="31" t="n">
        <v>1775</v>
      </c>
      <c r="Q89" s="28" t="n">
        <v>1920</v>
      </c>
      <c r="R89" s="31" t="n">
        <v>835</v>
      </c>
      <c r="S89" s="28" t="n">
        <v>4</v>
      </c>
      <c r="T89" s="28" t="n">
        <v>145</v>
      </c>
      <c r="U89" s="31" t="n">
        <v>1500</v>
      </c>
      <c r="V89" s="31">
        <f>R89*S89-P89</f>
        <v/>
      </c>
      <c r="W89" s="28" t="n">
        <v>0.78</v>
      </c>
      <c r="X89" s="28">
        <f>ROUND(V89/MAX(Q89,1),2)</f>
        <v/>
      </c>
      <c r="Y89" s="28" t="n">
        <v>0.45</v>
      </c>
      <c r="Z89" s="28">
        <f>IF(P89&gt;0,ROUND(V89/P89,2),"")</f>
        <v/>
      </c>
      <c r="AA89" s="28" t="n">
        <v>0.076</v>
      </c>
      <c r="AB89" s="28">
        <f>ROUND(T89/MAX(Q89,1),3)</f>
        <v/>
      </c>
      <c r="AC89" s="32" t="inlineStr">
        <is>
          <t>Cost 3,300-&gt;1,775 (-46%); Servings 1,200-&gt;835 (-30%)</t>
        </is>
      </c>
      <c r="AD89" s="32" t="inlineStr">
        <is>
          <t>Treated like Thumb Pudding, the middle of the 5 most similar EN dishes: you changed it cost -46%, servings -30% (profit ×1.11)</t>
        </is>
      </c>
      <c r="AE89" s="32" t="inlineStr">
        <is>
          <t>Thumb Pudding (EN Lv26: cost -46%, servings -30%)</t>
        </is>
      </c>
      <c r="AF89" s="32" t="inlineStr">
        <is>
          <t>Bleeding Hearts, Thumb Pudding, Grief Brisket, Fruit Cake, Snot Cross Buns</t>
        </is>
      </c>
      <c r="AG89" s="32" t="inlineStr"/>
      <c r="AH89" s="28" t="inlineStr">
        <is>
          <t>$1,230 · 720m · 645×$4 · 100xp</t>
        </is>
      </c>
      <c r="AI89" s="28" t="inlineStr">
        <is>
          <t>$1,230 · 720m · 645×$4 · 100xp</t>
        </is>
      </c>
      <c r="AJ89" s="28" t="inlineStr">
        <is>
          <t>1.88 → 1.88</t>
        </is>
      </c>
      <c r="AK89" s="28" t="inlineStr">
        <is>
          <t>弔いロールキャベツ</t>
        </is>
      </c>
    </row>
    <row r="90">
      <c r="A90" s="28" t="n">
        <v>87</v>
      </c>
      <c r="B90" s="28" t="inlineStr">
        <is>
          <t>Garden Gnome Salad</t>
        </is>
      </c>
      <c r="C90" s="28" t="n">
        <v>26</v>
      </c>
      <c r="D90" s="28" t="inlineStr">
        <is>
          <t>Raid recipe</t>
        </is>
      </c>
      <c r="E90" s="28" t="inlineStr">
        <is>
          <t>Garden Gnome Salad</t>
        </is>
      </c>
      <c r="F90" s="28" t="inlineStr">
        <is>
          <t>No</t>
        </is>
      </c>
      <c r="G90" s="35" t="inlineStr">
        <is>
          <t>EN pattern: hold</t>
        </is>
      </c>
      <c r="H90" s="30">
        <f>IF(W90&gt;0,X90/W90-1,"")</f>
        <v/>
      </c>
      <c r="I90" s="28" t="inlineStr"/>
      <c r="J90" s="28" t="inlineStr"/>
      <c r="K90" s="31" t="n">
        <v>3900</v>
      </c>
      <c r="L90" s="28" t="n">
        <v>2400</v>
      </c>
      <c r="M90" s="31" t="n">
        <v>1000</v>
      </c>
      <c r="N90" s="28" t="n">
        <v>5</v>
      </c>
      <c r="O90" s="28" t="n">
        <v>150</v>
      </c>
      <c r="P90" s="31" t="n">
        <v>3900</v>
      </c>
      <c r="Q90" s="28" t="n">
        <v>2400</v>
      </c>
      <c r="R90" s="31" t="n">
        <v>1000</v>
      </c>
      <c r="S90" s="28" t="n">
        <v>5</v>
      </c>
      <c r="T90" s="28" t="n">
        <v>150</v>
      </c>
      <c r="U90" s="31" t="n">
        <v>1100</v>
      </c>
      <c r="V90" s="31">
        <f>R90*S90-P90</f>
        <v/>
      </c>
      <c r="W90" s="28" t="n">
        <v>0.46</v>
      </c>
      <c r="X90" s="28">
        <f>ROUND(V90/MAX(Q90,1),2)</f>
        <v/>
      </c>
      <c r="Y90" s="28" t="n">
        <v>0.28</v>
      </c>
      <c r="Z90" s="28">
        <f>IF(P90&gt;0,ROUND(V90/P90,2),"")</f>
        <v/>
      </c>
      <c r="AA90" s="28" t="n">
        <v>0.062</v>
      </c>
      <c r="AB90" s="28">
        <f>ROUND(T90/MAX(Q90,1),3)</f>
        <v/>
      </c>
      <c r="AC90" s="32" t="inlineStr">
        <is>
          <t>—</t>
        </is>
      </c>
      <c r="AD90" s="32" t="inlineStr">
        <is>
          <t>Treated like Mourned Beef and Cabbage, the middle of the 5 most similar EN dishes: you left it unchanged</t>
        </is>
      </c>
      <c r="AE90" s="32" t="inlineStr">
        <is>
          <t>Mourned Beef and Cabbage (EN Lv14: unchanged)</t>
        </is>
      </c>
      <c r="AF90" s="32" t="inlineStr">
        <is>
          <t>Thumb Pudding, Fruit Cake, Bleeding Hearts, Escargut, Mourned Beef and Cabbage</t>
        </is>
      </c>
      <c r="AG90" s="32" t="inlineStr"/>
      <c r="AH90" s="28" t="inlineStr">
        <is>
          <t>$1,340 · 450m · 700×$4 · 105xp</t>
        </is>
      </c>
      <c r="AI90" s="28" t="inlineStr">
        <is>
          <t>$1,050 · 450m · 700×$4 · 105xp</t>
        </is>
      </c>
      <c r="AJ90" s="28" t="inlineStr">
        <is>
          <t>3.24 → 3.89</t>
        </is>
      </c>
      <c r="AK90" s="28" t="inlineStr">
        <is>
          <t>ムズムズサンド</t>
        </is>
      </c>
    </row>
    <row r="91">
      <c r="A91" s="28" t="n">
        <v>88</v>
      </c>
      <c r="B91" s="28" t="inlineStr">
        <is>
          <t>Fetid Djinni</t>
        </is>
      </c>
      <c r="C91" s="28" t="n">
        <v>25</v>
      </c>
      <c r="D91" s="28" t="inlineStr">
        <is>
          <t>Raid recipe</t>
        </is>
      </c>
      <c r="E91" s="28" t="inlineStr">
        <is>
          <t>Fetid Djinni</t>
        </is>
      </c>
      <c r="F91" s="28" t="inlineStr">
        <is>
          <t>No</t>
        </is>
      </c>
      <c r="G91" s="34" t="inlineStr">
        <is>
          <t>EN pattern: buff</t>
        </is>
      </c>
      <c r="H91" s="30">
        <f>IF(W91&gt;0,X91/W91-1,"")</f>
        <v/>
      </c>
      <c r="I91" s="28" t="inlineStr"/>
      <c r="J91" s="28" t="inlineStr"/>
      <c r="K91" s="31" t="n">
        <v>1700</v>
      </c>
      <c r="L91" s="28" t="n">
        <v>300</v>
      </c>
      <c r="M91" s="31" t="n">
        <v>500</v>
      </c>
      <c r="N91" s="28" t="n">
        <v>4</v>
      </c>
      <c r="O91" s="28" t="n">
        <v>70</v>
      </c>
      <c r="P91" s="31" t="n">
        <v>1350</v>
      </c>
      <c r="Q91" s="28" t="n">
        <v>300</v>
      </c>
      <c r="R91" s="31" t="n">
        <v>530</v>
      </c>
      <c r="S91" s="28" t="n">
        <v>4</v>
      </c>
      <c r="T91" s="28" t="n">
        <v>70</v>
      </c>
      <c r="U91" s="31" t="n">
        <v>300</v>
      </c>
      <c r="V91" s="31">
        <f>R91*S91-P91</f>
        <v/>
      </c>
      <c r="W91" s="28" t="n">
        <v>1</v>
      </c>
      <c r="X91" s="28">
        <f>ROUND(V91/MAX(Q91,1),2)</f>
        <v/>
      </c>
      <c r="Y91" s="28" t="n">
        <v>0.18</v>
      </c>
      <c r="Z91" s="28">
        <f>IF(P91&gt;0,ROUND(V91/P91,2),"")</f>
        <v/>
      </c>
      <c r="AA91" s="28" t="n">
        <v>0.233</v>
      </c>
      <c r="AB91" s="28">
        <f>ROUND(T91/MAX(Q91,1),3)</f>
        <v/>
      </c>
      <c r="AC91" s="32" t="inlineStr">
        <is>
          <t>Cost 1,700-&gt;1,350 (-21%); Servings 500-&gt;530 (+6%)</t>
        </is>
      </c>
      <c r="AD91" s="32" t="inlineStr">
        <is>
          <t>Treated like Fish Fingers, the middle of the 5 most similar EN dishes: you changed it cost -20%, servings +6% (profit ×2.12)</t>
        </is>
      </c>
      <c r="AE91" s="32" t="inlineStr">
        <is>
          <t>Fish Fingers (EN Lv27: cost -20%, servings +6%)</t>
        </is>
      </c>
      <c r="AF91" s="32" t="inlineStr">
        <is>
          <t>Rotten-Apple Pie, Fish Fingers, Cuss-Turd Tart, Foie Gross, Lion's Head Meatballs</t>
        </is>
      </c>
      <c r="AG91" s="32" t="inlineStr"/>
      <c r="AH91" s="28" t="inlineStr">
        <is>
          <t>$1,670 · 800m · 685×$5 · 150xp</t>
        </is>
      </c>
      <c r="AI91" s="28" t="inlineStr">
        <is>
          <t>$1,670 · 800m · 700×$5 · 150xp</t>
        </is>
      </c>
      <c r="AJ91" s="28" t="inlineStr">
        <is>
          <t>2.19 → 2.29</t>
        </is>
      </c>
      <c r="AK91" s="28" t="inlineStr">
        <is>
          <t>泥水ココア</t>
        </is>
      </c>
    </row>
    <row r="92">
      <c r="A92" s="28" t="n">
        <v>89</v>
      </c>
      <c r="B92" s="28" t="inlineStr">
        <is>
          <t>Verminestroni</t>
        </is>
      </c>
      <c r="C92" s="28" t="n">
        <v>21</v>
      </c>
      <c r="D92" s="28" t="inlineStr">
        <is>
          <t>Raid recipe (also sold)</t>
        </is>
      </c>
      <c r="E92" s="28" t="inlineStr">
        <is>
          <t>Verminestroni</t>
        </is>
      </c>
      <c r="F92" s="28" t="inlineStr">
        <is>
          <t>No</t>
        </is>
      </c>
      <c r="G92" s="34" t="inlineStr">
        <is>
          <t>EN pattern: buff</t>
        </is>
      </c>
      <c r="H92" s="30">
        <f>IF(W92&gt;0,X92/W92-1,"")</f>
        <v/>
      </c>
      <c r="I92" s="28" t="inlineStr"/>
      <c r="J92" s="28" t="inlineStr"/>
      <c r="K92" s="31" t="n">
        <v>2000</v>
      </c>
      <c r="L92" s="28" t="n">
        <v>660</v>
      </c>
      <c r="M92" s="31" t="n">
        <v>600</v>
      </c>
      <c r="N92" s="28" t="n">
        <v>4</v>
      </c>
      <c r="O92" s="28" t="n">
        <v>80</v>
      </c>
      <c r="P92" s="31" t="n">
        <v>1625</v>
      </c>
      <c r="Q92" s="28" t="n">
        <v>660</v>
      </c>
      <c r="R92" s="31" t="n">
        <v>645</v>
      </c>
      <c r="S92" s="28" t="n">
        <v>4</v>
      </c>
      <c r="T92" s="28" t="n">
        <v>80</v>
      </c>
      <c r="U92" s="31" t="n">
        <v>400</v>
      </c>
      <c r="V92" s="31">
        <f>R92*S92-P92</f>
        <v/>
      </c>
      <c r="W92" s="28" t="n">
        <v>0.61</v>
      </c>
      <c r="X92" s="28">
        <f>ROUND(V92/MAX(Q92,1),2)</f>
        <v/>
      </c>
      <c r="Y92" s="28" t="n">
        <v>0.2</v>
      </c>
      <c r="Z92" s="28">
        <f>IF(P92&gt;0,ROUND(V92/P92,2),"")</f>
        <v/>
      </c>
      <c r="AA92" s="28" t="n">
        <v>0.121</v>
      </c>
      <c r="AB92" s="28">
        <f>ROUND(T92/MAX(Q92,1),3)</f>
        <v/>
      </c>
      <c r="AC92" s="32" t="inlineStr">
        <is>
          <t>Cost 2,000-&gt;1,625 (-19%); Servings 600-&gt;645 (+8%)</t>
        </is>
      </c>
      <c r="AD92" s="32" t="inlineStr">
        <is>
          <t>Treated like Bangers &amp; Mush, the middle of the 5 most similar EN dishes: you changed it cost -18%, servings +8% (profit ×1.73)</t>
        </is>
      </c>
      <c r="AE92" s="32" t="inlineStr">
        <is>
          <t>Bangers &amp; Mush (EN Lv17: cost -18%, servings +8%)</t>
        </is>
      </c>
      <c r="AF92" s="32" t="inlineStr">
        <is>
          <t>Fish Fingers, Cockroach Calzone, Rotten-Apple Pie, Fileted Minion, Bangers &amp; Mush</t>
        </is>
      </c>
      <c r="AG92" s="32" t="inlineStr"/>
      <c r="AH92" s="28" t="inlineStr">
        <is>
          <t>$1,915 · 960m · 555×$7 · 160xp</t>
        </is>
      </c>
      <c r="AI92" s="28" t="inlineStr">
        <is>
          <t>$1,900 · 960m · 550×$12 · 160xp</t>
        </is>
      </c>
      <c r="AJ92" s="28" t="inlineStr">
        <is>
          <t>2.05 → 4.90</t>
        </is>
      </c>
      <c r="AK92" s="28" t="inlineStr">
        <is>
          <t>闇討ちソバ</t>
        </is>
      </c>
    </row>
    <row r="93">
      <c r="A93" s="28" t="n">
        <v>90</v>
      </c>
      <c r="B93" s="28" t="inlineStr">
        <is>
          <t>Wiccan Nuggets</t>
        </is>
      </c>
      <c r="C93" s="28" t="n">
        <v>17</v>
      </c>
      <c r="D93" s="28" t="inlineStr">
        <is>
          <t>Raid recipe (also sold)</t>
        </is>
      </c>
      <c r="E93" s="28" t="inlineStr">
        <is>
          <t>Wiccan Nuggets</t>
        </is>
      </c>
      <c r="F93" s="28" t="inlineStr">
        <is>
          <t>No</t>
        </is>
      </c>
      <c r="G93" s="34" t="inlineStr">
        <is>
          <t>EN pattern: buff</t>
        </is>
      </c>
      <c r="H93" s="30">
        <f>IF(W93&gt;0,X93/W93-1,"")</f>
        <v/>
      </c>
      <c r="I93" s="28" t="inlineStr"/>
      <c r="J93" s="28" t="inlineStr"/>
      <c r="K93" s="31" t="n">
        <v>800</v>
      </c>
      <c r="L93" s="28" t="n">
        <v>470</v>
      </c>
      <c r="M93" s="31" t="n">
        <v>390</v>
      </c>
      <c r="N93" s="28" t="n">
        <v>5</v>
      </c>
      <c r="O93" s="28" t="n">
        <v>140</v>
      </c>
      <c r="P93" s="31" t="n">
        <v>800</v>
      </c>
      <c r="Q93" s="28" t="n">
        <v>470</v>
      </c>
      <c r="R93" s="31" t="n">
        <v>405</v>
      </c>
      <c r="S93" s="28" t="n">
        <v>5</v>
      </c>
      <c r="T93" s="28" t="n">
        <v>140</v>
      </c>
      <c r="U93" s="31" t="n">
        <v>1150</v>
      </c>
      <c r="V93" s="31">
        <f>R93*S93-P93</f>
        <v/>
      </c>
      <c r="W93" s="28" t="n">
        <v>2.45</v>
      </c>
      <c r="X93" s="28">
        <f>ROUND(V93/MAX(Q93,1),2)</f>
        <v/>
      </c>
      <c r="Y93" s="28" t="n">
        <v>1.44</v>
      </c>
      <c r="Z93" s="28">
        <f>IF(P93&gt;0,ROUND(V93/P93,2),"")</f>
        <v/>
      </c>
      <c r="AA93" s="28" t="n">
        <v>0.298</v>
      </c>
      <c r="AB93" s="28">
        <f>ROUND(T93/MAX(Q93,1),3)</f>
        <v/>
      </c>
      <c r="AC93" s="32" t="inlineStr">
        <is>
          <t>Servings 390-&gt;405 (+4%)</t>
        </is>
      </c>
      <c r="AD93" s="32" t="inlineStr">
        <is>
          <t>Treated like Spiderello, the middle of the 5 most similar EN dishes: you changed it servings +4% (profit ×1.07)</t>
        </is>
      </c>
      <c r="AE93" s="32" t="inlineStr">
        <is>
          <t>Spiderello (EN Lv18: servings +4%)</t>
        </is>
      </c>
      <c r="AF93" s="32" t="inlineStr">
        <is>
          <t>Entropy Cassoulet, Festering Hot Chocolate, Nukes'n Puke, Spiderello, Knuckle Sandwich</t>
        </is>
      </c>
      <c r="AG93" s="32" t="inlineStr"/>
      <c r="AH93" s="28" t="inlineStr">
        <is>
          <t>$1,420 · 600m · 950×$3 · 120xp</t>
        </is>
      </c>
      <c r="AI93" s="28" t="inlineStr">
        <is>
          <t>$1,420 · 600m · 950×$3 · 120xp</t>
        </is>
      </c>
      <c r="AJ93" s="28" t="inlineStr">
        <is>
          <t>2.38 → 2.38</t>
        </is>
      </c>
      <c r="AK93" s="28" t="inlineStr">
        <is>
          <t>異星生物カスレ</t>
        </is>
      </c>
    </row>
    <row r="94">
      <c r="A94" s="28" t="n">
        <v>91</v>
      </c>
      <c r="B94" s="28" t="inlineStr">
        <is>
          <t>Voodoo Fondue</t>
        </is>
      </c>
      <c r="C94" s="28" t="n">
        <v>21</v>
      </c>
      <c r="D94" s="28" t="inlineStr">
        <is>
          <t>Raid recipe</t>
        </is>
      </c>
      <c r="E94" s="28" t="inlineStr">
        <is>
          <t>Voodoo Fondue</t>
        </is>
      </c>
      <c r="F94" s="28" t="inlineStr">
        <is>
          <t>No</t>
        </is>
      </c>
      <c r="G94" s="35" t="inlineStr">
        <is>
          <t>EN pattern: hold</t>
        </is>
      </c>
      <c r="H94" s="30">
        <f>IF(W94&gt;0,X94/W94-1,"")</f>
        <v/>
      </c>
      <c r="I94" s="28" t="inlineStr"/>
      <c r="J94" s="28" t="inlineStr"/>
      <c r="K94" s="31" t="n">
        <v>1500</v>
      </c>
      <c r="L94" s="28" t="n">
        <v>1000</v>
      </c>
      <c r="M94" s="31" t="n">
        <v>700</v>
      </c>
      <c r="N94" s="28" t="n">
        <v>5</v>
      </c>
      <c r="O94" s="28" t="n">
        <v>140</v>
      </c>
      <c r="P94" s="31" t="n">
        <v>1500</v>
      </c>
      <c r="Q94" s="28" t="n">
        <v>1000</v>
      </c>
      <c r="R94" s="31" t="n">
        <v>700</v>
      </c>
      <c r="S94" s="28" t="n">
        <v>5</v>
      </c>
      <c r="T94" s="28" t="n">
        <v>140</v>
      </c>
      <c r="U94" s="31" t="n">
        <v>2000</v>
      </c>
      <c r="V94" s="31">
        <f>R94*S94-P94</f>
        <v/>
      </c>
      <c r="W94" s="28" t="n">
        <v>2</v>
      </c>
      <c r="X94" s="28">
        <f>ROUND(V94/MAX(Q94,1),2)</f>
        <v/>
      </c>
      <c r="Y94" s="28" t="n">
        <v>1.33</v>
      </c>
      <c r="Z94" s="28">
        <f>IF(P94&gt;0,ROUND(V94/P94,2),"")</f>
        <v/>
      </c>
      <c r="AA94" s="28" t="n">
        <v>0.14</v>
      </c>
      <c r="AB94" s="28">
        <f>ROUND(T94/MAX(Q94,1),3)</f>
        <v/>
      </c>
      <c r="AC94" s="32" t="inlineStr">
        <is>
          <t>—</t>
        </is>
      </c>
      <c r="AD94" s="32" t="inlineStr">
        <is>
          <t>Treated like Head Cheese Pizza, the middle of the 5 most similar EN dishes: you left it unchanged</t>
        </is>
      </c>
      <c r="AE94" s="32" t="inlineStr">
        <is>
          <t>Head Cheese Pizza (EN Lv31: unchanged)</t>
        </is>
      </c>
      <c r="AF94" s="32" t="inlineStr">
        <is>
          <t>Quasar Coffee, Puking Duck, Nuke Fondue, Jumble Eye-ah, Head Cheese Pizza</t>
        </is>
      </c>
      <c r="AG94" s="32" t="inlineStr"/>
      <c r="AH94" s="28" t="inlineStr">
        <is>
          <t>$1,815 · 860m · 720×$5 · 145xp</t>
        </is>
      </c>
      <c r="AI94" s="28" t="inlineStr">
        <is>
          <t>$1,800 · 860m · 750×$5 · 145xp</t>
        </is>
      </c>
      <c r="AJ94" s="28" t="inlineStr">
        <is>
          <t>2.08 → 2.27</t>
        </is>
      </c>
      <c r="AK94" s="28" t="inlineStr">
        <is>
          <t>クェーサーコーヒー</t>
        </is>
      </c>
    </row>
    <row r="95">
      <c r="A95" s="28" t="n">
        <v>92</v>
      </c>
      <c r="B95" s="28" t="inlineStr">
        <is>
          <t>Eyestir Sauce Noodles</t>
        </is>
      </c>
      <c r="C95" s="28" t="n">
        <v>24</v>
      </c>
      <c r="D95" s="28" t="inlineStr">
        <is>
          <t>Raid recipe</t>
        </is>
      </c>
      <c r="E95" s="28" t="inlineStr">
        <is>
          <t>Eyestir Sauce Noodles</t>
        </is>
      </c>
      <c r="F95" s="28" t="inlineStr">
        <is>
          <t>No</t>
        </is>
      </c>
      <c r="G95" s="35" t="inlineStr">
        <is>
          <t>EN pattern: hold</t>
        </is>
      </c>
      <c r="H95" s="30">
        <f>IF(W95&gt;0,X95/W95-1,"")</f>
        <v/>
      </c>
      <c r="I95" s="28" t="inlineStr"/>
      <c r="J95" s="28" t="inlineStr"/>
      <c r="K95" s="31" t="n">
        <v>2500</v>
      </c>
      <c r="L95" s="28" t="n">
        <v>1000</v>
      </c>
      <c r="M95" s="31" t="n">
        <v>800</v>
      </c>
      <c r="N95" s="28" t="n">
        <v>5</v>
      </c>
      <c r="O95" s="28" t="n">
        <v>100</v>
      </c>
      <c r="P95" s="31" t="n">
        <v>2500</v>
      </c>
      <c r="Q95" s="28" t="n">
        <v>1000</v>
      </c>
      <c r="R95" s="31" t="n">
        <v>800</v>
      </c>
      <c r="S95" s="28" t="n">
        <v>5</v>
      </c>
      <c r="T95" s="28" t="n">
        <v>100</v>
      </c>
      <c r="U95" s="31" t="n">
        <v>1500</v>
      </c>
      <c r="V95" s="31">
        <f>R95*S95-P95</f>
        <v/>
      </c>
      <c r="W95" s="28" t="n">
        <v>1.5</v>
      </c>
      <c r="X95" s="28">
        <f>ROUND(V95/MAX(Q95,1),2)</f>
        <v/>
      </c>
      <c r="Y95" s="28" t="n">
        <v>0.6</v>
      </c>
      <c r="Z95" s="28">
        <f>IF(P95&gt;0,ROUND(V95/P95,2),"")</f>
        <v/>
      </c>
      <c r="AA95" s="28" t="n">
        <v>0.1</v>
      </c>
      <c r="AB95" s="28">
        <f>ROUND(T95/MAX(Q95,1),3)</f>
        <v/>
      </c>
      <c r="AC95" s="32" t="inlineStr">
        <is>
          <t>—</t>
        </is>
      </c>
      <c r="AD95" s="32" t="inlineStr">
        <is>
          <t>Treated like Toe-Cooked Baked Beans, the middle of the 5 most similar EN dishes: you left it unchanged</t>
        </is>
      </c>
      <c r="AE95" s="32" t="inlineStr">
        <is>
          <t>Toe-Cooked Baked Beans (EN Lv36: unchanged)</t>
        </is>
      </c>
      <c r="AF95" s="32" t="inlineStr">
        <is>
          <t>String (Theory) Cheese, Thorn Bread, Deep Fried Bacon Wrapped Pizza, Toe-Cooked Baked Beans, Red Dragon</t>
        </is>
      </c>
      <c r="AG95" s="32" t="inlineStr"/>
      <c r="AH95" s="28" t="inlineStr">
        <is>
          <t>$2,170 · 1320m · 580×$8 · 162xp</t>
        </is>
      </c>
      <c r="AI95" s="28" t="inlineStr">
        <is>
          <t>$2,160 · 1320m · 580×$12 · 162xp</t>
        </is>
      </c>
      <c r="AJ95" s="28" t="inlineStr">
        <is>
          <t>1.87 → 3.64</t>
        </is>
      </c>
      <c r="AK95" s="28" t="inlineStr">
        <is>
          <t>超ひも状チーズ</t>
        </is>
      </c>
    </row>
    <row r="96">
      <c r="A96" s="28" t="n">
        <v>93</v>
      </c>
      <c r="B96" s="28" t="inlineStr">
        <is>
          <t>Leech Melba</t>
        </is>
      </c>
      <c r="C96" s="28" t="n">
        <v>25</v>
      </c>
      <c r="D96" s="28" t="inlineStr">
        <is>
          <t>Raid recipe</t>
        </is>
      </c>
      <c r="E96" s="28" t="inlineStr">
        <is>
          <t>Leech Melba</t>
        </is>
      </c>
      <c r="F96" s="28" t="inlineStr">
        <is>
          <t>No</t>
        </is>
      </c>
      <c r="G96" s="34" t="inlineStr">
        <is>
          <t>EN pattern: buff</t>
        </is>
      </c>
      <c r="H96" s="30">
        <f>IF(W96&gt;0,X96/W96-1,"")</f>
        <v/>
      </c>
      <c r="I96" s="28" t="inlineStr"/>
      <c r="J96" s="28" t="inlineStr"/>
      <c r="K96" s="31" t="n">
        <v>800</v>
      </c>
      <c r="L96" s="28" t="n">
        <v>500</v>
      </c>
      <c r="M96" s="31" t="n">
        <v>410</v>
      </c>
      <c r="N96" s="28" t="n">
        <v>6</v>
      </c>
      <c r="O96" s="28" t="n">
        <v>150</v>
      </c>
      <c r="P96" s="31" t="n">
        <v>800</v>
      </c>
      <c r="Q96" s="28" t="n">
        <v>500</v>
      </c>
      <c r="R96" s="31" t="n">
        <v>450</v>
      </c>
      <c r="S96" s="28" t="n">
        <v>6</v>
      </c>
      <c r="T96" s="28" t="n">
        <v>150</v>
      </c>
      <c r="U96" s="31" t="n">
        <v>1660</v>
      </c>
      <c r="V96" s="31">
        <f>R96*S96-P96</f>
        <v/>
      </c>
      <c r="W96" s="28" t="n">
        <v>3.32</v>
      </c>
      <c r="X96" s="28">
        <f>ROUND(V96/MAX(Q96,1),2)</f>
        <v/>
      </c>
      <c r="Y96" s="28" t="n">
        <v>2.08</v>
      </c>
      <c r="Z96" s="28">
        <f>IF(P96&gt;0,ROUND(V96/P96,2),"")</f>
        <v/>
      </c>
      <c r="AA96" s="28" t="n">
        <v>0.3</v>
      </c>
      <c r="AB96" s="28">
        <f>ROUND(T96/MAX(Q96,1),3)</f>
        <v/>
      </c>
      <c r="AC96" s="32" t="inlineStr">
        <is>
          <t>Servings 410-&gt;450 (+10%)</t>
        </is>
      </c>
      <c r="AD96" s="32" t="inlineStr">
        <is>
          <t>Treated like Dark Matter Loaf, the middle of the 5 most similar EN dishes: you changed it servings +10% (profit ×1.14)</t>
        </is>
      </c>
      <c r="AE96" s="32" t="inlineStr">
        <is>
          <t>Dark Matter Loaf (EN Lv25: servings +10%)</t>
        </is>
      </c>
      <c r="AF96" s="32" t="inlineStr">
        <is>
          <t>Dark Matter Loaf, Chicken Fried Snake, Festering Hot Chocolate, Entropy Cassoulet, Nukes'n Puke</t>
        </is>
      </c>
      <c r="AG96" s="32" t="inlineStr"/>
      <c r="AH96" s="28" t="inlineStr">
        <is>
          <t>$650 · 240m · 320×$5 · 50xp</t>
        </is>
      </c>
      <c r="AI96" s="28" t="inlineStr">
        <is>
          <t>$650 · 240m · 325×$5 · 50xp</t>
        </is>
      </c>
      <c r="AJ96" s="28" t="inlineStr">
        <is>
          <t>3.96 → 4.06</t>
        </is>
      </c>
      <c r="AK96" s="28" t="inlineStr">
        <is>
          <t>ダークマターローフ</t>
        </is>
      </c>
    </row>
    <row r="97">
      <c r="A97" s="28" t="n">
        <v>94</v>
      </c>
      <c r="B97" s="28" t="inlineStr">
        <is>
          <t>Nukes'n Puke</t>
        </is>
      </c>
      <c r="C97" s="28" t="n">
        <v>13</v>
      </c>
      <c r="D97" s="28" t="inlineStr">
        <is>
          <t>Raid recipe (also sold)</t>
        </is>
      </c>
      <c r="E97" s="28" t="inlineStr">
        <is>
          <t>Nukes'n Puke</t>
        </is>
      </c>
      <c r="F97" s="28" t="inlineStr">
        <is>
          <t>No</t>
        </is>
      </c>
      <c r="G97" s="35" t="inlineStr">
        <is>
          <t>EN pattern: hold</t>
        </is>
      </c>
      <c r="H97" s="30">
        <f>IF(W97&gt;0,X97/W97-1,"")</f>
        <v/>
      </c>
      <c r="I97" s="28" t="inlineStr"/>
      <c r="J97" s="28" t="inlineStr"/>
      <c r="K97" s="31" t="n">
        <v>1000</v>
      </c>
      <c r="L97" s="28" t="n">
        <v>90</v>
      </c>
      <c r="M97" s="31" t="n">
        <v>200</v>
      </c>
      <c r="N97" s="28" t="n">
        <v>7</v>
      </c>
      <c r="O97" s="28" t="n">
        <v>60</v>
      </c>
      <c r="P97" s="31" t="n">
        <v>1000</v>
      </c>
      <c r="Q97" s="28" t="n">
        <v>90</v>
      </c>
      <c r="R97" s="31" t="n">
        <v>200</v>
      </c>
      <c r="S97" s="28" t="n">
        <v>7</v>
      </c>
      <c r="T97" s="28" t="n">
        <v>60</v>
      </c>
      <c r="U97" s="31" t="n">
        <v>400</v>
      </c>
      <c r="V97" s="31">
        <f>R97*S97-P97</f>
        <v/>
      </c>
      <c r="W97" s="28" t="n">
        <v>4.44</v>
      </c>
      <c r="X97" s="28">
        <f>ROUND(V97/MAX(Q97,1),2)</f>
        <v/>
      </c>
      <c r="Y97" s="28" t="n">
        <v>0.4</v>
      </c>
      <c r="Z97" s="28">
        <f>IF(P97&gt;0,ROUND(V97/P97,2),"")</f>
        <v/>
      </c>
      <c r="AA97" s="28" t="n">
        <v>0.667</v>
      </c>
      <c r="AB97" s="28">
        <f>ROUND(T97/MAX(Q97,1),3)</f>
        <v/>
      </c>
      <c r="AC97" s="32" t="inlineStr">
        <is>
          <t>—</t>
        </is>
      </c>
      <c r="AD97" s="32" t="inlineStr">
        <is>
          <t>Treated like Putrefied Clam Chowder, the middle of the 5 most similar EN dishes: you left it unchanged</t>
        </is>
      </c>
      <c r="AE97" s="32" t="inlineStr">
        <is>
          <t>Putrefied Clam Chowder (EN Lv35: unchanged)</t>
        </is>
      </c>
      <c r="AF97" s="32" t="inlineStr">
        <is>
          <t>Net Prawn, Brine Shrimp Cocktail, Dracooler, Putrefied Clam Chowder, Stake Tar-Tar</t>
        </is>
      </c>
      <c r="AG97" s="32" t="inlineStr">
        <is>
          <t>Loose match: no EN dish is very close</t>
        </is>
      </c>
      <c r="AH97" s="28" t="inlineStr">
        <is>
          <t>$840 · 480m · 500×$4 · 75xp</t>
        </is>
      </c>
      <c r="AI97" s="28" t="inlineStr">
        <is>
          <t>$840 · 480m · 500×$4 · 75xp</t>
        </is>
      </c>
      <c r="AJ97" s="28" t="inlineStr">
        <is>
          <t>2.42 → 2.42</t>
        </is>
      </c>
      <c r="AK97" s="28" t="inlineStr">
        <is>
          <t>深宇宙のタルト</t>
        </is>
      </c>
    </row>
    <row r="98">
      <c r="A98" s="28" t="n">
        <v>95</v>
      </c>
      <c r="B98" s="28" t="inlineStr">
        <is>
          <t>Knuckle Sandwich</t>
        </is>
      </c>
      <c r="C98" s="28" t="n">
        <v>10</v>
      </c>
      <c r="D98" s="28" t="inlineStr">
        <is>
          <t>Raid recipe (also sold)</t>
        </is>
      </c>
      <c r="E98" s="28" t="inlineStr">
        <is>
          <t>Knuckle Sandwich</t>
        </is>
      </c>
      <c r="F98" s="28" t="inlineStr">
        <is>
          <t>No</t>
        </is>
      </c>
      <c r="G98" s="34" t="inlineStr">
        <is>
          <t>EN pattern: buff</t>
        </is>
      </c>
      <c r="H98" s="30">
        <f>IF(W98&gt;0,X98/W98-1,"")</f>
        <v/>
      </c>
      <c r="I98" s="28" t="inlineStr"/>
      <c r="J98" s="28" t="inlineStr"/>
      <c r="K98" s="31" t="n">
        <v>500</v>
      </c>
      <c r="L98" s="28" t="n">
        <v>450</v>
      </c>
      <c r="M98" s="31" t="n">
        <v>290</v>
      </c>
      <c r="N98" s="28" t="n">
        <v>3</v>
      </c>
      <c r="O98" s="28" t="n">
        <v>60</v>
      </c>
      <c r="P98" s="31" t="n">
        <v>210</v>
      </c>
      <c r="Q98" s="28" t="n">
        <v>450</v>
      </c>
      <c r="R98" s="31" t="n">
        <v>320</v>
      </c>
      <c r="S98" s="28" t="n">
        <v>3</v>
      </c>
      <c r="T98" s="28" t="n">
        <v>60</v>
      </c>
      <c r="U98" s="31" t="n">
        <v>370</v>
      </c>
      <c r="V98" s="31">
        <f>R98*S98-P98</f>
        <v/>
      </c>
      <c r="W98" s="28" t="n">
        <v>0.82</v>
      </c>
      <c r="X98" s="28">
        <f>ROUND(V98/MAX(Q98,1),2)</f>
        <v/>
      </c>
      <c r="Y98" s="28" t="n">
        <v>0.74</v>
      </c>
      <c r="Z98" s="28">
        <f>IF(P98&gt;0,ROUND(V98/P98,2),"")</f>
        <v/>
      </c>
      <c r="AA98" s="28" t="n">
        <v>0.133</v>
      </c>
      <c r="AB98" s="28">
        <f>ROUND(T98/MAX(Q98,1),3)</f>
        <v/>
      </c>
      <c r="AC98" s="32" t="inlineStr">
        <is>
          <t>Cost 500-&gt;210 (-58%); Servings 290-&gt;320 (+10%)</t>
        </is>
      </c>
      <c r="AD98" s="32" t="inlineStr">
        <is>
          <t>Treated like Ape-a-Teaser, the middle of the 5 most similar EN dishes: you changed it cost -58%, servings +11% (profit ×1.89)</t>
        </is>
      </c>
      <c r="AE98" s="32" t="inlineStr">
        <is>
          <t>Ape-a-Teaser (EN Lv19: cost -58%, servings +11%)</t>
        </is>
      </c>
      <c r="AF98" s="32" t="inlineStr">
        <is>
          <t>Khyber-Belt Kebabs, Faux Noodles, Cremated Brulee, Ape-a-Teaser, Eyeberry Jelly</t>
        </is>
      </c>
      <c r="AG98" s="32" t="inlineStr"/>
      <c r="AH98" s="28" t="inlineStr">
        <is>
          <t>$915 · 520m · 330×$6 · 82xp</t>
        </is>
      </c>
      <c r="AI98" s="28" t="inlineStr">
        <is>
          <t>$910 · 520m · 330×$6 · 82xp</t>
        </is>
      </c>
      <c r="AJ98" s="28" t="inlineStr">
        <is>
          <t>2.05 → 2.06</t>
        </is>
      </c>
      <c r="AK98" s="28" t="inlineStr">
        <is>
          <t>エイリアンケバブ</t>
        </is>
      </c>
    </row>
    <row r="99">
      <c r="A99" s="28" t="n">
        <v>96</v>
      </c>
      <c r="B99" s="28" t="inlineStr">
        <is>
          <t>Druid's Juice</t>
        </is>
      </c>
      <c r="C99" s="28" t="n">
        <v>30</v>
      </c>
      <c r="D99" s="28" t="inlineStr">
        <is>
          <t>Raid recipe</t>
        </is>
      </c>
      <c r="E99" s="28" t="inlineStr">
        <is>
          <t>Druid's Juice</t>
        </is>
      </c>
      <c r="F99" s="28" t="inlineStr">
        <is>
          <t>No</t>
        </is>
      </c>
      <c r="G99" s="34" t="inlineStr">
        <is>
          <t>EN pattern: buff</t>
        </is>
      </c>
      <c r="H99" s="30">
        <f>IF(W99&gt;0,X99/W99-1,"")</f>
        <v/>
      </c>
      <c r="I99" s="28" t="inlineStr"/>
      <c r="J99" s="28" t="inlineStr"/>
      <c r="K99" s="31" t="n">
        <v>500</v>
      </c>
      <c r="L99" s="28" t="n">
        <v>800</v>
      </c>
      <c r="M99" s="31" t="n">
        <v>500</v>
      </c>
      <c r="N99" s="28" t="n">
        <v>5</v>
      </c>
      <c r="O99" s="28" t="n">
        <v>100</v>
      </c>
      <c r="P99" s="31" t="n">
        <v>500</v>
      </c>
      <c r="Q99" s="28" t="n">
        <v>800</v>
      </c>
      <c r="R99" s="31" t="n">
        <v>550</v>
      </c>
      <c r="S99" s="28" t="n">
        <v>5</v>
      </c>
      <c r="T99" s="28" t="n">
        <v>100</v>
      </c>
      <c r="U99" s="31" t="n">
        <v>2000</v>
      </c>
      <c r="V99" s="31">
        <f>R99*S99-P99</f>
        <v/>
      </c>
      <c r="W99" s="28" t="n">
        <v>2.5</v>
      </c>
      <c r="X99" s="28">
        <f>ROUND(V99/MAX(Q99,1),2)</f>
        <v/>
      </c>
      <c r="Y99" s="28" t="n">
        <v>4</v>
      </c>
      <c r="Z99" s="28">
        <f>IF(P99&gt;0,ROUND(V99/P99,2),"")</f>
        <v/>
      </c>
      <c r="AA99" s="28" t="n">
        <v>0.125</v>
      </c>
      <c r="AB99" s="28">
        <f>ROUND(T99/MAX(Q99,1),3)</f>
        <v/>
      </c>
      <c r="AC99" s="32" t="inlineStr">
        <is>
          <t>Servings 500-&gt;550 (+10%)</t>
        </is>
      </c>
      <c r="AD99" s="32" t="inlineStr">
        <is>
          <t>Treated like Plutonian Cider, the middle of the 5 most similar EN dishes: you changed it servings +10% (profit ×1.12)</t>
        </is>
      </c>
      <c r="AE99" s="32" t="inlineStr">
        <is>
          <t>Plutonian Cider (EN Lv39: servings +10%)</t>
        </is>
      </c>
      <c r="AF99" s="32" t="inlineStr">
        <is>
          <t>Coal-Slaw, Plutonian Cider, Vile Veal, Chicken Fried Snake, Dark Matter Loaf</t>
        </is>
      </c>
      <c r="AG99" s="32" t="inlineStr"/>
      <c r="AH99" s="28" t="inlineStr">
        <is>
          <t>$220 · 150m · 265×$2 · 22xp</t>
        </is>
      </c>
      <c r="AI99" s="28" t="inlineStr">
        <is>
          <t>$250 · 120m · 175×$4 · 18xp</t>
        </is>
      </c>
      <c r="AJ99" s="28" t="inlineStr">
        <is>
          <t>2.07 → 3.75</t>
        </is>
      </c>
      <c r="AK99" s="28" t="inlineStr">
        <is>
          <t>プルトンサイダー</t>
        </is>
      </c>
    </row>
    <row r="100">
      <c r="A100" s="28" t="n">
        <v>97</v>
      </c>
      <c r="B100" s="28" t="inlineStr">
        <is>
          <t>Hydrapanic Salad</t>
        </is>
      </c>
      <c r="C100" s="28" t="n">
        <v>32</v>
      </c>
      <c r="D100" s="28" t="inlineStr">
        <is>
          <t>Raid recipe</t>
        </is>
      </c>
      <c r="E100" s="28" t="inlineStr">
        <is>
          <t>Hydrapanic Salad</t>
        </is>
      </c>
      <c r="F100" s="28" t="inlineStr">
        <is>
          <t>No</t>
        </is>
      </c>
      <c r="G100" s="34" t="inlineStr">
        <is>
          <t>EN pattern: buff</t>
        </is>
      </c>
      <c r="H100" s="30">
        <f>IF(W100&gt;0,X100/W100-1,"")</f>
        <v/>
      </c>
      <c r="I100" s="28" t="inlineStr"/>
      <c r="J100" s="28" t="inlineStr"/>
      <c r="K100" s="31" t="n">
        <v>1500</v>
      </c>
      <c r="L100" s="28" t="n">
        <v>500</v>
      </c>
      <c r="M100" s="31" t="n">
        <v>390</v>
      </c>
      <c r="N100" s="28" t="n">
        <v>6</v>
      </c>
      <c r="O100" s="28" t="n">
        <v>110</v>
      </c>
      <c r="P100" s="31" t="n">
        <v>1100</v>
      </c>
      <c r="Q100" s="28" t="n">
        <v>500</v>
      </c>
      <c r="R100" s="31" t="n">
        <v>415</v>
      </c>
      <c r="S100" s="28" t="n">
        <v>6</v>
      </c>
      <c r="T100" s="28" t="n">
        <v>110</v>
      </c>
      <c r="U100" s="31" t="n">
        <v>840</v>
      </c>
      <c r="V100" s="31">
        <f>R100*S100-P100</f>
        <v/>
      </c>
      <c r="W100" s="28" t="n">
        <v>1.68</v>
      </c>
      <c r="X100" s="28">
        <f>ROUND(V100/MAX(Q100,1),2)</f>
        <v/>
      </c>
      <c r="Y100" s="28" t="n">
        <v>0.5600000000000001</v>
      </c>
      <c r="Z100" s="28">
        <f>IF(P100&gt;0,ROUND(V100/P100,2),"")</f>
        <v/>
      </c>
      <c r="AA100" s="28" t="n">
        <v>0.22</v>
      </c>
      <c r="AB100" s="28">
        <f>ROUND(T100/MAX(Q100,1),3)</f>
        <v/>
      </c>
      <c r="AC100" s="32" t="inlineStr">
        <is>
          <t>Cost 1,500-&gt;1,100 (-27%); Servings 390-&gt;415 (+6%)</t>
        </is>
      </c>
      <c r="AD100" s="32" t="inlineStr">
        <is>
          <t>Treated like Cracked Ribs, the middle of the 5 most similar EN dishes: you changed it cost -26%, servings +7% (profit ×1.72)</t>
        </is>
      </c>
      <c r="AE100" s="32" t="inlineStr">
        <is>
          <t>Cracked Ribs (EN Lv47: cost -26%, servings +7%)</t>
        </is>
      </c>
      <c r="AF100" s="32" t="inlineStr">
        <is>
          <t>Lion's Head Meatballs, Europan Sea Slugs, Cracked Ribs, Toe-Cooked Baked Beans, Foie Gross</t>
        </is>
      </c>
      <c r="AG100" s="32" t="inlineStr"/>
      <c r="AH100" s="28" t="inlineStr">
        <is>
          <t>$315 · 190m · 350×$2 · 27xp</t>
        </is>
      </c>
      <c r="AI100" s="28" t="inlineStr">
        <is>
          <t>$350 · 240m · 230×$4 · 34xp</t>
        </is>
      </c>
      <c r="AJ100" s="28" t="inlineStr">
        <is>
          <t>2.03 → 2.38</t>
        </is>
      </c>
      <c r="AK100" s="28" t="inlineStr">
        <is>
          <t>宇宙ウミウシ</t>
        </is>
      </c>
    </row>
    <row r="101">
      <c r="A101" s="28" t="n">
        <v>98</v>
      </c>
      <c r="B101" s="28" t="inlineStr">
        <is>
          <t>Helm &amp; Cheese</t>
        </is>
      </c>
      <c r="C101" s="28" t="n">
        <v>37</v>
      </c>
      <c r="D101" s="28" t="inlineStr">
        <is>
          <t>Raid recipe (also sold)</t>
        </is>
      </c>
      <c r="E101" s="28" t="inlineStr">
        <is>
          <t>Helm &amp; Cheese</t>
        </is>
      </c>
      <c r="F101" s="28" t="inlineStr">
        <is>
          <t>No</t>
        </is>
      </c>
      <c r="G101" s="34" t="inlineStr">
        <is>
          <t>EN pattern: buff</t>
        </is>
      </c>
      <c r="H101" s="30">
        <f>IF(W101&gt;0,X101/W101-1,"")</f>
        <v/>
      </c>
      <c r="I101" s="28" t="inlineStr"/>
      <c r="J101" s="28" t="inlineStr"/>
      <c r="K101" s="31" t="n">
        <v>2200</v>
      </c>
      <c r="L101" s="28" t="n">
        <v>1000</v>
      </c>
      <c r="M101" s="31" t="n">
        <v>750</v>
      </c>
      <c r="N101" s="28" t="n">
        <v>5</v>
      </c>
      <c r="O101" s="28" t="n">
        <v>110</v>
      </c>
      <c r="P101" s="31" t="n">
        <v>1300</v>
      </c>
      <c r="Q101" s="28" t="n">
        <v>1000</v>
      </c>
      <c r="R101" s="31" t="n">
        <v>750</v>
      </c>
      <c r="S101" s="28" t="n">
        <v>5</v>
      </c>
      <c r="T101" s="28" t="n">
        <v>110</v>
      </c>
      <c r="U101" s="31" t="n">
        <v>1550</v>
      </c>
      <c r="V101" s="31">
        <f>R101*S101-P101</f>
        <v/>
      </c>
      <c r="W101" s="28" t="n">
        <v>1.55</v>
      </c>
      <c r="X101" s="28">
        <f>ROUND(V101/MAX(Q101,1),2)</f>
        <v/>
      </c>
      <c r="Y101" s="28" t="n">
        <v>0.7</v>
      </c>
      <c r="Z101" s="28">
        <f>IF(P101&gt;0,ROUND(V101/P101,2),"")</f>
        <v/>
      </c>
      <c r="AA101" s="28" t="n">
        <v>0.11</v>
      </c>
      <c r="AB101" s="28">
        <f>ROUND(T101/MAX(Q101,1),3)</f>
        <v/>
      </c>
      <c r="AC101" s="32" t="inlineStr">
        <is>
          <t>Cost 2,200-&gt;1,300 (-41%)</t>
        </is>
      </c>
      <c r="AD101" s="32" t="inlineStr">
        <is>
          <t>Treated like String (Theory) Cheese, the middle of the 5 most similar EN dishes: you changed it cost -40%, servings -25% (profit ×1.00)</t>
        </is>
      </c>
      <c r="AE101" s="32" t="inlineStr">
        <is>
          <t>String (Theory) Cheese (EN Lv24: cost -40%, servings -25%)</t>
        </is>
      </c>
      <c r="AF101" s="32" t="inlineStr">
        <is>
          <t>Spaghettified Meat Balls, Thorn Bread, Vegan Pizza, Toe-Cooked Baked Beans, String (Theory) Cheese</t>
        </is>
      </c>
      <c r="AG101" s="32" t="inlineStr"/>
      <c r="AH101" s="28" t="inlineStr">
        <is>
          <t>$445 · 225m · 360×$3 · 40xp</t>
        </is>
      </c>
      <c r="AI101" s="28" t="inlineStr">
        <is>
          <t>$550 · 480m · 330×$5 · 85xp</t>
        </is>
      </c>
      <c r="AJ101" s="28" t="inlineStr">
        <is>
          <t>2.82 → 2.29</t>
        </is>
      </c>
      <c r="AK101" s="28" t="inlineStr">
        <is>
          <t>混沌のミートボール</t>
        </is>
      </c>
    </row>
    <row r="102">
      <c r="A102" s="28" t="n">
        <v>99</v>
      </c>
      <c r="B102" s="28" t="inlineStr">
        <is>
          <t>Unicorn Chowder</t>
        </is>
      </c>
      <c r="C102" s="28" t="n">
        <v>39</v>
      </c>
      <c r="D102" s="28" t="inlineStr">
        <is>
          <t>Level track</t>
        </is>
      </c>
      <c r="E102" s="28" t="inlineStr">
        <is>
          <t>Unicorn Chowder</t>
        </is>
      </c>
      <c r="F102" s="28" t="inlineStr">
        <is>
          <t>No</t>
        </is>
      </c>
      <c r="G102" s="34" t="inlineStr">
        <is>
          <t>EN pattern: buff</t>
        </is>
      </c>
      <c r="H102" s="30">
        <f>IF(W102&gt;0,X102/W102-1,"")</f>
        <v/>
      </c>
      <c r="I102" s="28" t="inlineStr"/>
      <c r="J102" s="28" t="inlineStr"/>
      <c r="K102" s="31" t="n">
        <v>3200</v>
      </c>
      <c r="L102" s="28" t="n">
        <v>2000</v>
      </c>
      <c r="M102" s="31" t="n">
        <v>1000</v>
      </c>
      <c r="N102" s="28" t="n">
        <v>6</v>
      </c>
      <c r="O102" s="28" t="n">
        <v>140</v>
      </c>
      <c r="P102" s="31" t="n">
        <v>2025</v>
      </c>
      <c r="Q102" s="28" t="n">
        <v>2000</v>
      </c>
      <c r="R102" s="31" t="n">
        <v>1000</v>
      </c>
      <c r="S102" s="28" t="n">
        <v>6</v>
      </c>
      <c r="T102" s="28" t="n">
        <v>140</v>
      </c>
      <c r="U102" s="31" t="n">
        <v>2800</v>
      </c>
      <c r="V102" s="31">
        <f>R102*S102-P102</f>
        <v/>
      </c>
      <c r="W102" s="28" t="n">
        <v>1.4</v>
      </c>
      <c r="X102" s="28">
        <f>ROUND(V102/MAX(Q102,1),2)</f>
        <v/>
      </c>
      <c r="Y102" s="28" t="n">
        <v>0.88</v>
      </c>
      <c r="Z102" s="28">
        <f>IF(P102&gt;0,ROUND(V102/P102,2),"")</f>
        <v/>
      </c>
      <c r="AA102" s="28" t="n">
        <v>0.07000000000000001</v>
      </c>
      <c r="AB102" s="28">
        <f>ROUND(T102/MAX(Q102,1),3)</f>
        <v/>
      </c>
      <c r="AC102" s="32" t="inlineStr">
        <is>
          <t>Cost 3,200-&gt;2,025 (-37%)</t>
        </is>
      </c>
      <c r="AD102" s="32" t="inlineStr">
        <is>
          <t>Treated like Spaghettified Meat Balls, the middle of the 5 most similar EN dishes: you changed it cost -36%, servings -20% (profit ×1.03)</t>
        </is>
      </c>
      <c r="AE102" s="32" t="inlineStr">
        <is>
          <t>Spaghettified Meat Balls (EN Lv41: cost -36%, servings -20%)</t>
        </is>
      </c>
      <c r="AF102" s="32" t="inlineStr">
        <is>
          <t>Pigs in a Blanket, Grief Brisket, Spaghettified Meat Balls, Deep Fried Bacon Wrapped Pizza, Vegan Pizza</t>
        </is>
      </c>
      <c r="AG102" s="32" t="inlineStr"/>
      <c r="AH102" s="28" t="inlineStr">
        <is>
          <t>$540 · 280m · 375×$3 · 45xp</t>
        </is>
      </c>
      <c r="AI102" s="28" t="inlineStr">
        <is>
          <t>$650 · 720m · 375×$6 · 116xp</t>
        </is>
      </c>
      <c r="AJ102" s="28" t="inlineStr">
        <is>
          <t>2.09 → 2.22</t>
        </is>
      </c>
      <c r="AK102" s="28" t="inlineStr">
        <is>
          <t>ミノタウロスフライ</t>
        </is>
      </c>
    </row>
    <row r="103">
      <c r="A103" s="28" t="n">
        <v>100</v>
      </c>
      <c r="B103" s="28" t="inlineStr">
        <is>
          <t>Dragon Soup</t>
        </is>
      </c>
      <c r="C103" s="28" t="n">
        <v>40</v>
      </c>
      <c r="D103" s="28" t="inlineStr">
        <is>
          <t>Level track</t>
        </is>
      </c>
      <c r="E103" s="28" t="inlineStr">
        <is>
          <t>Dragon Soup</t>
        </is>
      </c>
      <c r="F103" s="28" t="inlineStr">
        <is>
          <t>No</t>
        </is>
      </c>
      <c r="G103" s="34" t="inlineStr">
        <is>
          <t>EN pattern: buff</t>
        </is>
      </c>
      <c r="H103" s="30">
        <f>IF(W103&gt;0,X103/W103-1,"")</f>
        <v/>
      </c>
      <c r="I103" s="28" t="inlineStr"/>
      <c r="J103" s="28" t="inlineStr"/>
      <c r="K103" s="31" t="n">
        <v>4000</v>
      </c>
      <c r="L103" s="28" t="n">
        <v>1920</v>
      </c>
      <c r="M103" s="31" t="n">
        <v>800</v>
      </c>
      <c r="N103" s="28" t="n">
        <v>6</v>
      </c>
      <c r="O103" s="28" t="n">
        <v>160</v>
      </c>
      <c r="P103" s="31" t="n">
        <v>2925</v>
      </c>
      <c r="Q103" s="28" t="n">
        <v>1920</v>
      </c>
      <c r="R103" s="31" t="n">
        <v>535</v>
      </c>
      <c r="S103" s="28" t="n">
        <v>9</v>
      </c>
      <c r="T103" s="28" t="n">
        <v>160</v>
      </c>
      <c r="U103" s="31" t="n">
        <v>800</v>
      </c>
      <c r="V103" s="31">
        <f>R103*S103-P103</f>
        <v/>
      </c>
      <c r="W103" s="28" t="n">
        <v>0.42</v>
      </c>
      <c r="X103" s="28">
        <f>ROUND(V103/MAX(Q103,1),2)</f>
        <v/>
      </c>
      <c r="Y103" s="28" t="n">
        <v>0.2</v>
      </c>
      <c r="Z103" s="28">
        <f>IF(P103&gt;0,ROUND(V103/P103,2),"")</f>
        <v/>
      </c>
      <c r="AA103" s="28" t="n">
        <v>0.083</v>
      </c>
      <c r="AB103" s="28">
        <f>ROUND(T103/MAX(Q103,1),3)</f>
        <v/>
      </c>
      <c r="AC103" s="32" t="inlineStr">
        <is>
          <t>Cost 4,000-&gt;2,925 (-27%); Servings 800-&gt;535 (-33%); $/serving 6-&gt;9 (+50%)</t>
        </is>
      </c>
      <c r="AD103" s="32" t="inlineStr">
        <is>
          <t>Treated like Fruit Cake, the middle of the 5 most similar EN dishes: you changed it cost -27%, servings -33%, $/serving 7-&gt;11 (profit ×1.83)</t>
        </is>
      </c>
      <c r="AE103" s="32" t="inlineStr">
        <is>
          <t>Fruit Cake (EN Lv29: cost -27%, servings -33%, $/serving 7-&gt;11)</t>
        </is>
      </c>
      <c r="AF103" s="32" t="inlineStr">
        <is>
          <t>Fruit Cake, Bleeding Hearts, Thumb Pudding, Gruesome Gruel, Anti Hero Sandwich</t>
        </is>
      </c>
      <c r="AG103" s="32" t="inlineStr">
        <is>
          <t>$/serving raised (also changes tips)</t>
        </is>
      </c>
      <c r="AH103" s="28" t="inlineStr">
        <is>
          <t>$615 · 360m · 420×$3 · 60xp</t>
        </is>
      </c>
      <c r="AI103" s="28" t="inlineStr">
        <is>
          <t>$1,100 · 960m · 500×$7 · 160xp</t>
        </is>
      </c>
      <c r="AJ103" s="28" t="inlineStr">
        <is>
          <t>1.79 → 2.50</t>
        </is>
      </c>
      <c r="AK103" s="28" t="inlineStr">
        <is>
          <t>ハチミツ風味のスパム缶</t>
        </is>
      </c>
    </row>
    <row r="104">
      <c r="A104" s="28" t="n">
        <v>101</v>
      </c>
      <c r="B104" s="28" t="inlineStr">
        <is>
          <t>Holy Gauntlet Pottage</t>
        </is>
      </c>
      <c r="C104" s="28" t="n">
        <v>41</v>
      </c>
      <c r="D104" s="28" t="inlineStr">
        <is>
          <t>Level track</t>
        </is>
      </c>
      <c r="E104" s="28" t="inlineStr">
        <is>
          <t>Holy Gauntlet Pottage</t>
        </is>
      </c>
      <c r="F104" s="28" t="inlineStr">
        <is>
          <t>No</t>
        </is>
      </c>
      <c r="G104" s="34" t="inlineStr">
        <is>
          <t>EN pattern: buff</t>
        </is>
      </c>
      <c r="H104" s="30">
        <f>IF(W104&gt;0,X104/W104-1,"")</f>
        <v/>
      </c>
      <c r="I104" s="28" t="inlineStr"/>
      <c r="J104" s="28" t="inlineStr"/>
      <c r="K104" s="31" t="n">
        <v>2000</v>
      </c>
      <c r="L104" s="28" t="n">
        <v>2880</v>
      </c>
      <c r="M104" s="31" t="n">
        <v>600</v>
      </c>
      <c r="N104" s="28" t="n">
        <v>7</v>
      </c>
      <c r="O104" s="28" t="n">
        <v>100</v>
      </c>
      <c r="P104" s="31" t="n">
        <v>1375</v>
      </c>
      <c r="Q104" s="28" t="n">
        <v>2880</v>
      </c>
      <c r="R104" s="31" t="n">
        <v>600</v>
      </c>
      <c r="S104" s="28" t="n">
        <v>7</v>
      </c>
      <c r="T104" s="28" t="n">
        <v>100</v>
      </c>
      <c r="U104" s="31" t="n">
        <v>2200</v>
      </c>
      <c r="V104" s="31">
        <f>R104*S104-P104</f>
        <v/>
      </c>
      <c r="W104" s="28" t="n">
        <v>0.76</v>
      </c>
      <c r="X104" s="28">
        <f>ROUND(V104/MAX(Q104,1),2)</f>
        <v/>
      </c>
      <c r="Y104" s="28" t="n">
        <v>1.1</v>
      </c>
      <c r="Z104" s="28">
        <f>IF(P104&gt;0,ROUND(V104/P104,2),"")</f>
        <v/>
      </c>
      <c r="AA104" s="28" t="n">
        <v>0.035</v>
      </c>
      <c r="AB104" s="28">
        <f>ROUND(T104/MAX(Q104,1),3)</f>
        <v/>
      </c>
      <c r="AC104" s="32" t="inlineStr">
        <is>
          <t>Cost 2,000-&gt;1,375 (-31%)</t>
        </is>
      </c>
      <c r="AD104" s="32" t="inlineStr">
        <is>
          <t>Treated like Bleeding Hearts, the middle of the 5 most similar EN dishes: you changed it cost -31%, servings -22% (profit ×1.00)</t>
        </is>
      </c>
      <c r="AE104" s="32" t="inlineStr">
        <is>
          <t>Bleeding Hearts (EN Lv32: cost -31%, servings -22%)</t>
        </is>
      </c>
      <c r="AF104" s="32" t="inlineStr">
        <is>
          <t>Pigs in a Blanket, Grief Brisket, Head Cheese Pizza, Bleeding Hearts, Fruit Cake</t>
        </is>
      </c>
      <c r="AG104" s="32" t="inlineStr"/>
      <c r="AH104" s="28" t="inlineStr">
        <is>
          <t>$680 · 400m · 480×$3 · 65xp</t>
        </is>
      </c>
      <c r="AI104" s="28" t="inlineStr">
        <is>
          <t>$1,400 · 1440m · 660×$7 · 234xp</t>
        </is>
      </c>
      <c r="AJ104" s="28" t="inlineStr">
        <is>
          <t>1.90 → 2.24</t>
        </is>
      </c>
      <c r="AK104" s="28" t="inlineStr">
        <is>
          <t>ゴキブリ入りカルツォーネ</t>
        </is>
      </c>
    </row>
    <row r="105">
      <c r="A105" s="28" t="n">
        <v>102</v>
      </c>
      <c r="B105" s="28" t="inlineStr">
        <is>
          <t>Crimonade Can</t>
        </is>
      </c>
      <c r="C105" s="28" t="n">
        <v>29</v>
      </c>
      <c r="D105" s="28" t="inlineStr">
        <is>
          <t>Raid recipe (also sold)</t>
        </is>
      </c>
      <c r="E105" s="28" t="inlineStr">
        <is>
          <t>Crimonade Can</t>
        </is>
      </c>
      <c r="F105" s="28" t="inlineStr">
        <is>
          <t>No</t>
        </is>
      </c>
      <c r="G105" s="34" t="inlineStr">
        <is>
          <t>EN pattern: buff</t>
        </is>
      </c>
      <c r="H105" s="30">
        <f>IF(W105&gt;0,X105/W105-1,"")</f>
        <v/>
      </c>
      <c r="I105" s="28" t="inlineStr"/>
      <c r="J105" s="28" t="inlineStr"/>
      <c r="K105" s="31" t="n">
        <v>2730</v>
      </c>
      <c r="L105" s="28" t="n">
        <v>1050</v>
      </c>
      <c r="M105" s="31" t="n">
        <v>835</v>
      </c>
      <c r="N105" s="28" t="n">
        <v>6</v>
      </c>
      <c r="O105" s="28" t="n">
        <v>112</v>
      </c>
      <c r="P105" s="31" t="n">
        <v>1900</v>
      </c>
      <c r="Q105" s="28" t="n">
        <v>1050</v>
      </c>
      <c r="R105" s="31" t="n">
        <v>700</v>
      </c>
      <c r="S105" s="28" t="n">
        <v>6</v>
      </c>
      <c r="T105" s="28" t="n">
        <v>112</v>
      </c>
      <c r="U105" s="31" t="n">
        <v>2280</v>
      </c>
      <c r="V105" s="31">
        <f>R105*S105-P105</f>
        <v/>
      </c>
      <c r="W105" s="28" t="n">
        <v>2.17</v>
      </c>
      <c r="X105" s="28">
        <f>ROUND(V105/MAX(Q105,1),2)</f>
        <v/>
      </c>
      <c r="Y105" s="28" t="n">
        <v>0.84</v>
      </c>
      <c r="Z105" s="28">
        <f>IF(P105&gt;0,ROUND(V105/P105,2),"")</f>
        <v/>
      </c>
      <c r="AA105" s="28" t="n">
        <v>0.107</v>
      </c>
      <c r="AB105" s="28">
        <f>ROUND(T105/MAX(Q105,1),3)</f>
        <v/>
      </c>
      <c r="AC105" s="32" t="inlineStr">
        <is>
          <t>Cost 2,730-&gt;1,900 (-30%); Servings 835-&gt;700 (-16%)</t>
        </is>
      </c>
      <c r="AD105" s="32" t="inlineStr">
        <is>
          <t>Treated like Deep Fried Bacon Wrapped Pizza, the middle of the 5 most similar EN dishes: you changed it cost -30%, servings -16% (profit ×1.01)</t>
        </is>
      </c>
      <c r="AE105" s="32" t="inlineStr">
        <is>
          <t>Deep Fried Bacon Wrapped Pizza (EN Lv29: cost -30%, servings -16%)</t>
        </is>
      </c>
      <c r="AF105" s="32" t="inlineStr">
        <is>
          <t>Deep Fried Bacon Wrapped Pizza, String (Theory) Cheese, Spaghettified Meat Balls, Thorn Bread, Vegan Pizza</t>
        </is>
      </c>
      <c r="AG105" s="32" t="inlineStr"/>
      <c r="AH105" s="28" t="inlineStr">
        <is>
          <t>$1,755 · 880m · 900×$4 · 152xp</t>
        </is>
      </c>
      <c r="AI105" s="28" t="inlineStr">
        <is>
          <t>$1,750 · 880m · 900×$4 · 152xp</t>
        </is>
      </c>
      <c r="AJ105" s="28" t="inlineStr">
        <is>
          <t>2.10 → 2.10</t>
        </is>
      </c>
      <c r="AK105" s="28" t="inlineStr">
        <is>
          <t>目玉のベーコン巻きピザ</t>
        </is>
      </c>
    </row>
    <row r="106">
      <c r="A106" s="28" t="n">
        <v>103</v>
      </c>
      <c r="B106" s="28" t="inlineStr">
        <is>
          <t>Orc Steak</t>
        </is>
      </c>
      <c r="C106" s="28" t="n">
        <v>30</v>
      </c>
      <c r="D106" s="28" t="inlineStr">
        <is>
          <t>Raid recipe (also sold)</t>
        </is>
      </c>
      <c r="E106" s="28" t="inlineStr">
        <is>
          <t>Orc Steak</t>
        </is>
      </c>
      <c r="F106" s="28" t="inlineStr">
        <is>
          <t>No</t>
        </is>
      </c>
      <c r="G106" s="34" t="inlineStr">
        <is>
          <t>EN pattern: buff</t>
        </is>
      </c>
      <c r="H106" s="30">
        <f>IF(W106&gt;0,X106/W106-1,"")</f>
        <v/>
      </c>
      <c r="I106" s="28" t="inlineStr"/>
      <c r="J106" s="28" t="inlineStr"/>
      <c r="K106" s="31" t="n">
        <v>865</v>
      </c>
      <c r="L106" s="28" t="n">
        <v>350</v>
      </c>
      <c r="M106" s="31" t="n">
        <v>450</v>
      </c>
      <c r="N106" s="28" t="n">
        <v>4</v>
      </c>
      <c r="O106" s="28" t="n">
        <v>65</v>
      </c>
      <c r="P106" s="31" t="n">
        <v>865</v>
      </c>
      <c r="Q106" s="28" t="n">
        <v>350</v>
      </c>
      <c r="R106" s="31" t="n">
        <v>470</v>
      </c>
      <c r="S106" s="28" t="n">
        <v>4</v>
      </c>
      <c r="T106" s="28" t="n">
        <v>65</v>
      </c>
      <c r="U106" s="31" t="n">
        <v>935</v>
      </c>
      <c r="V106" s="31">
        <f>R106*S106-P106</f>
        <v/>
      </c>
      <c r="W106" s="28" t="n">
        <v>2.67</v>
      </c>
      <c r="X106" s="28">
        <f>ROUND(V106/MAX(Q106,1),2)</f>
        <v/>
      </c>
      <c r="Y106" s="28" t="n">
        <v>1.08</v>
      </c>
      <c r="Z106" s="28">
        <f>IF(P106&gt;0,ROUND(V106/P106,2),"")</f>
        <v/>
      </c>
      <c r="AA106" s="28" t="n">
        <v>0.186</v>
      </c>
      <c r="AB106" s="28">
        <f>ROUND(T106/MAX(Q106,1),3)</f>
        <v/>
      </c>
      <c r="AC106" s="32" t="inlineStr">
        <is>
          <t>Servings 450-&gt;470 (+4%)</t>
        </is>
      </c>
      <c r="AD106" s="32" t="inlineStr">
        <is>
          <t>Treated like Spiderello, the middle of the 5 most similar EN dishes: you changed it servings +4% (profit ×1.07)</t>
        </is>
      </c>
      <c r="AE106" s="32" t="inlineStr">
        <is>
          <t>Spiderello (EN Lv18: servings +4%)</t>
        </is>
      </c>
      <c r="AF106" s="32" t="inlineStr">
        <is>
          <t>English Breakfast Pizza, Nukes'n Puke, Spiderello, Festering Hot Chocolate, Knuckle Sandwich</t>
        </is>
      </c>
      <c r="AG106" s="32" t="inlineStr"/>
      <c r="AH106" s="28" t="inlineStr">
        <is>
          <t>$1,580 · 580m · 1080×$3 · 123xp</t>
        </is>
      </c>
      <c r="AI106" s="28" t="inlineStr">
        <is>
          <t>$1,000 · 580m · 900×$3 · 123xp</t>
        </is>
      </c>
      <c r="AJ106" s="28" t="inlineStr">
        <is>
          <t>2.86 → 2.93</t>
        </is>
      </c>
      <c r="AK106" s="28" t="inlineStr">
        <is>
          <t>英国ゾンビの朝食ピザ</t>
        </is>
      </c>
    </row>
    <row r="107">
      <c r="A107" s="28" t="n">
        <v>104</v>
      </c>
      <c r="B107" s="28" t="inlineStr">
        <is>
          <t>Mandragora Dip</t>
        </is>
      </c>
      <c r="C107" s="28" t="n">
        <v>31</v>
      </c>
      <c r="D107" s="28" t="inlineStr">
        <is>
          <t>Raid recipe</t>
        </is>
      </c>
      <c r="E107" s="28" t="inlineStr">
        <is>
          <t>Mandragora Dip</t>
        </is>
      </c>
      <c r="F107" s="28" t="inlineStr">
        <is>
          <t>No</t>
        </is>
      </c>
      <c r="G107" s="35" t="inlineStr">
        <is>
          <t>EN pattern: hold</t>
        </is>
      </c>
      <c r="H107" s="30">
        <f>IF(W107&gt;0,X107/W107-1,"")</f>
        <v/>
      </c>
      <c r="I107" s="28" t="inlineStr"/>
      <c r="J107" s="28" t="inlineStr"/>
      <c r="K107" s="31" t="n">
        <v>1430</v>
      </c>
      <c r="L107" s="28" t="n">
        <v>1250</v>
      </c>
      <c r="M107" s="31" t="n">
        <v>625</v>
      </c>
      <c r="N107" s="28" t="n">
        <v>5</v>
      </c>
      <c r="O107" s="28" t="n">
        <v>56</v>
      </c>
      <c r="P107" s="31" t="n">
        <v>1430</v>
      </c>
      <c r="Q107" s="28" t="n">
        <v>1250</v>
      </c>
      <c r="R107" s="31" t="n">
        <v>625</v>
      </c>
      <c r="S107" s="28" t="n">
        <v>5</v>
      </c>
      <c r="T107" s="28" t="n">
        <v>56</v>
      </c>
      <c r="U107" s="31" t="n">
        <v>1695</v>
      </c>
      <c r="V107" s="31">
        <f>R107*S107-P107</f>
        <v/>
      </c>
      <c r="W107" s="28" t="n">
        <v>1.36</v>
      </c>
      <c r="X107" s="28">
        <f>ROUND(V107/MAX(Q107,1),2)</f>
        <v/>
      </c>
      <c r="Y107" s="28" t="n">
        <v>1.19</v>
      </c>
      <c r="Z107" s="28">
        <f>IF(P107&gt;0,ROUND(V107/P107,2),"")</f>
        <v/>
      </c>
      <c r="AA107" s="28" t="n">
        <v>0.045</v>
      </c>
      <c r="AB107" s="28">
        <f>ROUND(T107/MAX(Q107,1),3)</f>
        <v/>
      </c>
      <c r="AC107" s="32" t="inlineStr">
        <is>
          <t>—</t>
        </is>
      </c>
      <c r="AD107" s="32" t="inlineStr">
        <is>
          <t>Treated like Spoiled Sea Food Pizza, the middle of the 5 most similar EN dishes: you left it unchanged</t>
        </is>
      </c>
      <c r="AE107" s="32" t="inlineStr">
        <is>
          <t>Spoiled Sea Food Pizza (EN Lv43: unchanged)</t>
        </is>
      </c>
      <c r="AF107" s="32" t="inlineStr">
        <is>
          <t>Head Cheese Pizza, Quasar Coffee, Puking Duck, Rabid Rabbit, Spoiled Sea Food Pizza</t>
        </is>
      </c>
      <c r="AG107" s="32" t="inlineStr"/>
      <c r="AH107" s="28" t="inlineStr">
        <is>
          <t>$2,375 · 1220m · 695×$7 · 168xp</t>
        </is>
      </c>
      <c r="AI107" s="28" t="inlineStr">
        <is>
          <t>$2,350 · 1220m · 700×$12 · 168xp</t>
        </is>
      </c>
      <c r="AJ107" s="28" t="inlineStr">
        <is>
          <t>2.04 → 4.96</t>
        </is>
      </c>
      <c r="AK107" s="28" t="inlineStr">
        <is>
          <t>怪しい肉のピザ</t>
        </is>
      </c>
    </row>
    <row r="108">
      <c r="A108" s="28" t="n">
        <v>105</v>
      </c>
      <c r="B108" s="28" t="inlineStr">
        <is>
          <t>Eyeberry Jelly</t>
        </is>
      </c>
      <c r="C108" s="28" t="n">
        <v>32</v>
      </c>
      <c r="D108" s="28" t="inlineStr">
        <is>
          <t>Raid recipe</t>
        </is>
      </c>
      <c r="E108" s="28" t="inlineStr">
        <is>
          <t>Eyeberry Jelly</t>
        </is>
      </c>
      <c r="F108" s="28" t="inlineStr">
        <is>
          <t>No</t>
        </is>
      </c>
      <c r="G108" s="34" t="inlineStr">
        <is>
          <t>EN pattern: buff</t>
        </is>
      </c>
      <c r="H108" s="30">
        <f>IF(W108&gt;0,X108/W108-1,"")</f>
        <v/>
      </c>
      <c r="I108" s="28" t="inlineStr"/>
      <c r="J108" s="28" t="inlineStr"/>
      <c r="K108" s="31" t="n">
        <v>525</v>
      </c>
      <c r="L108" s="28" t="n">
        <v>350</v>
      </c>
      <c r="M108" s="31" t="n">
        <v>425</v>
      </c>
      <c r="N108" s="28" t="n">
        <v>3</v>
      </c>
      <c r="O108" s="28" t="n">
        <v>55</v>
      </c>
      <c r="P108" s="31" t="n">
        <v>380</v>
      </c>
      <c r="Q108" s="28" t="n">
        <v>350</v>
      </c>
      <c r="R108" s="31" t="n">
        <v>450</v>
      </c>
      <c r="S108" s="28" t="n">
        <v>3</v>
      </c>
      <c r="T108" s="28" t="n">
        <v>55</v>
      </c>
      <c r="U108" s="31" t="n">
        <v>750</v>
      </c>
      <c r="V108" s="31">
        <f>R108*S108-P108</f>
        <v/>
      </c>
      <c r="W108" s="28" t="n">
        <v>2.14</v>
      </c>
      <c r="X108" s="28">
        <f>ROUND(V108/MAX(Q108,1),2)</f>
        <v/>
      </c>
      <c r="Y108" s="28" t="n">
        <v>1.43</v>
      </c>
      <c r="Z108" s="28">
        <f>IF(P108&gt;0,ROUND(V108/P108,2),"")</f>
        <v/>
      </c>
      <c r="AA108" s="28" t="n">
        <v>0.157</v>
      </c>
      <c r="AB108" s="28">
        <f>ROUND(T108/MAX(Q108,1),3)</f>
        <v/>
      </c>
      <c r="AC108" s="32" t="inlineStr">
        <is>
          <t>Cost 525-&gt;380 (-28%); Servings 425-&gt;450 (+6%)</t>
        </is>
      </c>
      <c r="AD108" s="32" t="inlineStr">
        <is>
          <t>Treated like English Breakfast Pizza, the middle of the 5 most similar EN dishes: you changed it cost -27%, servings +6% (profit ×1.36)</t>
        </is>
      </c>
      <c r="AE108" s="32" t="inlineStr">
        <is>
          <t>English Breakfast Pizza (EN Lv30: cost -27%, servings +6%)</t>
        </is>
      </c>
      <c r="AF108" s="32" t="inlineStr">
        <is>
          <t>Meatzza, Ham and Sneeze Sandwich, Nukes'n Puke, English Breakfast Pizza, Spiderello</t>
        </is>
      </c>
      <c r="AG108" s="32" t="inlineStr"/>
      <c r="AH108" s="28" t="inlineStr">
        <is>
          <t>$580 · 620m · 385×$3 · 80xp</t>
        </is>
      </c>
      <c r="AI108" s="28" t="inlineStr">
        <is>
          <t>$580 · 620m · 385×$3 · 80xp</t>
        </is>
      </c>
      <c r="AJ108" s="28" t="inlineStr">
        <is>
          <t>0.93 → 0.93</t>
        </is>
      </c>
      <c r="AK108" s="28" t="inlineStr">
        <is>
          <t>ミートパッションピザ</t>
        </is>
      </c>
    </row>
    <row r="109">
      <c r="A109" s="28" t="n">
        <v>106</v>
      </c>
      <c r="B109" s="28" t="inlineStr">
        <is>
          <t>Red Dragon</t>
        </is>
      </c>
      <c r="C109" s="28" t="n">
        <v>42</v>
      </c>
      <c r="D109" s="28" t="inlineStr">
        <is>
          <t>Level track</t>
        </is>
      </c>
      <c r="E109" s="28" t="inlineStr">
        <is>
          <t>Red Dragon</t>
        </is>
      </c>
      <c r="F109" s="28" t="inlineStr">
        <is>
          <t>No</t>
        </is>
      </c>
      <c r="G109" s="34" t="inlineStr">
        <is>
          <t>EN pattern: buff</t>
        </is>
      </c>
      <c r="H109" s="30">
        <f>IF(W109&gt;0,X109/W109-1,"")</f>
        <v/>
      </c>
      <c r="I109" s="28" t="inlineStr"/>
      <c r="J109" s="28" t="inlineStr"/>
      <c r="K109" s="31" t="n">
        <v>610</v>
      </c>
      <c r="L109" s="28" t="n">
        <v>720</v>
      </c>
      <c r="M109" s="31" t="n">
        <v>576</v>
      </c>
      <c r="N109" s="28" t="n">
        <v>3</v>
      </c>
      <c r="O109" s="28" t="n">
        <v>35</v>
      </c>
      <c r="P109" s="31" t="n">
        <v>390</v>
      </c>
      <c r="Q109" s="28" t="n">
        <v>720</v>
      </c>
      <c r="R109" s="31" t="n">
        <v>625</v>
      </c>
      <c r="S109" s="28" t="n">
        <v>3</v>
      </c>
      <c r="T109" s="28" t="n">
        <v>35</v>
      </c>
      <c r="U109" s="31" t="n">
        <v>1118</v>
      </c>
      <c r="V109" s="31">
        <f>R109*S109-P109</f>
        <v/>
      </c>
      <c r="W109" s="28" t="n">
        <v>1.55</v>
      </c>
      <c r="X109" s="28">
        <f>ROUND(V109/MAX(Q109,1),2)</f>
        <v/>
      </c>
      <c r="Y109" s="28" t="n">
        <v>1.83</v>
      </c>
      <c r="Z109" s="28">
        <f>IF(P109&gt;0,ROUND(V109/P109,2),"")</f>
        <v/>
      </c>
      <c r="AA109" s="28" t="n">
        <v>0.049</v>
      </c>
      <c r="AB109" s="28">
        <f>ROUND(T109/MAX(Q109,1),3)</f>
        <v/>
      </c>
      <c r="AC109" s="32" t="inlineStr">
        <is>
          <t>Cost 610-&gt;390 (-36%); Servings 576-&gt;625 (+9%)</t>
        </is>
      </c>
      <c r="AD109" s="32" t="inlineStr">
        <is>
          <t>Treated like Torn Tripe, the middle of the 5 most similar EN dishes: you changed it cost -35%, servings +9% (profit ×1.35)</t>
        </is>
      </c>
      <c r="AE109" s="32" t="inlineStr">
        <is>
          <t>Torn Tripe (EN Lv49: cost -35%, servings +9%)</t>
        </is>
      </c>
      <c r="AF109" s="32" t="inlineStr">
        <is>
          <t>Peanut Butter &amp; Jelly Pizza, Torn Tripe, Ham and Sneeze Sandwich, Meatzza, Spoiled Sea Food Pizza</t>
        </is>
      </c>
      <c r="AG109" s="32" t="inlineStr"/>
      <c r="AH109" s="28" t="inlineStr">
        <is>
          <t>$2,250 · 1200m · 950×$4 · 140xp</t>
        </is>
      </c>
      <c r="AI109" s="28" t="inlineStr">
        <is>
          <t>$2,250 · 1200m · 950×$4 · 140xp</t>
        </is>
      </c>
      <c r="AJ109" s="28" t="inlineStr">
        <is>
          <t>1.29 → 1.29</t>
        </is>
      </c>
      <c r="AK109" s="28" t="inlineStr">
        <is>
          <t>ムシゼリーピザ</t>
        </is>
      </c>
    </row>
    <row r="110">
      <c r="A110" s="28" t="n">
        <v>107</v>
      </c>
      <c r="B110" s="28" t="inlineStr">
        <is>
          <t>Plundered Blowfish</t>
        </is>
      </c>
      <c r="C110" s="28" t="n">
        <v>43</v>
      </c>
      <c r="D110" s="28" t="inlineStr">
        <is>
          <t>Level track</t>
        </is>
      </c>
      <c r="E110" s="28" t="inlineStr">
        <is>
          <t>Plundered Blowfish</t>
        </is>
      </c>
      <c r="F110" s="28" t="inlineStr">
        <is>
          <t>No</t>
        </is>
      </c>
      <c r="G110" s="35" t="inlineStr">
        <is>
          <t>EN pattern: hold</t>
        </is>
      </c>
      <c r="H110" s="30">
        <f>IF(W110&gt;0,X110/W110-1,"")</f>
        <v/>
      </c>
      <c r="I110" s="28" t="inlineStr"/>
      <c r="J110" s="28" t="inlineStr"/>
      <c r="K110" s="31" t="n">
        <v>1230</v>
      </c>
      <c r="L110" s="28" t="n">
        <v>846</v>
      </c>
      <c r="M110" s="31" t="n">
        <v>640</v>
      </c>
      <c r="N110" s="28" t="n">
        <v>4</v>
      </c>
      <c r="O110" s="28" t="n">
        <v>75</v>
      </c>
      <c r="P110" s="31" t="n">
        <v>1230</v>
      </c>
      <c r="Q110" s="28" t="n">
        <v>846</v>
      </c>
      <c r="R110" s="31" t="n">
        <v>640</v>
      </c>
      <c r="S110" s="28" t="n">
        <v>4</v>
      </c>
      <c r="T110" s="28" t="n">
        <v>75</v>
      </c>
      <c r="U110" s="31" t="n">
        <v>1330</v>
      </c>
      <c r="V110" s="31">
        <f>R110*S110-P110</f>
        <v/>
      </c>
      <c r="W110" s="28" t="n">
        <v>1.57</v>
      </c>
      <c r="X110" s="28">
        <f>ROUND(V110/MAX(Q110,1),2)</f>
        <v/>
      </c>
      <c r="Y110" s="28" t="n">
        <v>1.08</v>
      </c>
      <c r="Z110" s="28">
        <f>IF(P110&gt;0,ROUND(V110/P110,2),"")</f>
        <v/>
      </c>
      <c r="AA110" s="28" t="n">
        <v>0.089</v>
      </c>
      <c r="AB110" s="28">
        <f>ROUND(T110/MAX(Q110,1),3)</f>
        <v/>
      </c>
      <c r="AC110" s="32" t="inlineStr">
        <is>
          <t>—</t>
        </is>
      </c>
      <c r="AD110" s="32" t="inlineStr">
        <is>
          <t>Treated like Roe Boat, the middle of the 5 most similar EN dishes: you left it unchanged</t>
        </is>
      </c>
      <c r="AE110" s="32" t="inlineStr">
        <is>
          <t>Roe Boat (EN Lv53: unchanged)</t>
        </is>
      </c>
      <c r="AF110" s="32" t="inlineStr">
        <is>
          <t>Spoiled Sea Food Pizza, Leperoni Pizza, Roe Boat, Head Cheese Pizza, Vegan Pizza</t>
        </is>
      </c>
      <c r="AG110" s="32" t="inlineStr"/>
      <c r="AH110" s="28" t="inlineStr">
        <is>
          <t>$740 · 280m · 530×$3 · 70xp</t>
        </is>
      </c>
      <c r="AI110" s="28" t="inlineStr">
        <is>
          <t>$800 · 480m · 440×$5 · 120xp</t>
        </is>
      </c>
      <c r="AJ110" s="28" t="inlineStr">
        <is>
          <t>3.04 → 2.92</t>
        </is>
      </c>
      <c r="AK110" s="28" t="inlineStr">
        <is>
          <t>タイ風ピザ</t>
        </is>
      </c>
    </row>
    <row r="111">
      <c r="A111" s="28" t="n">
        <v>108</v>
      </c>
      <c r="B111" s="28" t="inlineStr">
        <is>
          <t>Oyster Pearls</t>
        </is>
      </c>
      <c r="C111" s="28" t="n">
        <v>40</v>
      </c>
      <c r="D111" s="28" t="inlineStr">
        <is>
          <t>Raid recipe</t>
        </is>
      </c>
      <c r="E111" s="28" t="inlineStr">
        <is>
          <t>Oyster Pearls</t>
        </is>
      </c>
      <c r="F111" s="28" t="inlineStr">
        <is>
          <t>No</t>
        </is>
      </c>
      <c r="G111" s="34" t="inlineStr">
        <is>
          <t>EN pattern: buff</t>
        </is>
      </c>
      <c r="H111" s="30">
        <f>IF(W111&gt;0,X111/W111-1,"")</f>
        <v/>
      </c>
      <c r="I111" s="28" t="inlineStr"/>
      <c r="J111" s="28" t="inlineStr"/>
      <c r="K111" s="31" t="n">
        <v>2050</v>
      </c>
      <c r="L111" s="28" t="n">
        <v>975</v>
      </c>
      <c r="M111" s="31" t="n">
        <v>720</v>
      </c>
      <c r="N111" s="28" t="n">
        <v>5</v>
      </c>
      <c r="O111" s="28" t="n">
        <v>95</v>
      </c>
      <c r="P111" s="31" t="n">
        <v>1300</v>
      </c>
      <c r="Q111" s="28" t="n">
        <v>975</v>
      </c>
      <c r="R111" s="31" t="n">
        <v>575</v>
      </c>
      <c r="S111" s="28" t="n">
        <v>5</v>
      </c>
      <c r="T111" s="28" t="n">
        <v>95</v>
      </c>
      <c r="U111" s="31" t="n">
        <v>1550</v>
      </c>
      <c r="V111" s="31">
        <f>R111*S111-P111</f>
        <v/>
      </c>
      <c r="W111" s="28" t="n">
        <v>1.59</v>
      </c>
      <c r="X111" s="28">
        <f>ROUND(V111/MAX(Q111,1),2)</f>
        <v/>
      </c>
      <c r="Y111" s="28" t="n">
        <v>0.76</v>
      </c>
      <c r="Z111" s="28">
        <f>IF(P111&gt;0,ROUND(V111/P111,2),"")</f>
        <v/>
      </c>
      <c r="AA111" s="28" t="n">
        <v>0.097</v>
      </c>
      <c r="AB111" s="28">
        <f>ROUND(T111/MAX(Q111,1),3)</f>
        <v/>
      </c>
      <c r="AC111" s="32" t="inlineStr">
        <is>
          <t>Cost 2,050-&gt;1,300 (-37%); Servings 720-&gt;575 (-20%)</t>
        </is>
      </c>
      <c r="AD111" s="32" t="inlineStr">
        <is>
          <t>Treated like Spaghettified Meat Balls, the middle of the 5 most similar EN dishes: you changed it cost -36%, servings -20% (profit ×1.03)</t>
        </is>
      </c>
      <c r="AE111" s="32" t="inlineStr">
        <is>
          <t>Spaghettified Meat Balls (EN Lv41: cost -36%, servings -20%)</t>
        </is>
      </c>
      <c r="AF111" s="32" t="inlineStr">
        <is>
          <t>Spaghettified Meat Balls, Vegan Pizza, Toe-Cooked Baked Beans, Thorn Bread, Broxy</t>
        </is>
      </c>
      <c r="AG111" s="32" t="inlineStr"/>
      <c r="AH111" s="28" t="inlineStr">
        <is>
          <t>$635 · 240m · 445×$3 · 85xp</t>
        </is>
      </c>
      <c r="AI111" s="28" t="inlineStr">
        <is>
          <t>$300 · 120m · 85×$12 · 43xp</t>
        </is>
      </c>
      <c r="AJ111" s="28" t="inlineStr">
        <is>
          <t>2.92 → 6.00</t>
        </is>
      </c>
      <c r="AK111" s="28" t="inlineStr">
        <is>
          <t>ベジタリアンピザ</t>
        </is>
      </c>
    </row>
    <row r="112">
      <c r="A112" s="28" t="n">
        <v>109</v>
      </c>
      <c r="B112" s="28" t="inlineStr">
        <is>
          <t>Jelly Roger Custard</t>
        </is>
      </c>
      <c r="C112" s="28" t="n">
        <v>44</v>
      </c>
      <c r="D112" s="28" t="inlineStr">
        <is>
          <t>Level track</t>
        </is>
      </c>
      <c r="E112" s="28" t="inlineStr">
        <is>
          <t>Jelly Roger Custard</t>
        </is>
      </c>
      <c r="F112" s="28" t="inlineStr">
        <is>
          <t>No</t>
        </is>
      </c>
      <c r="G112" s="35" t="inlineStr">
        <is>
          <t>EN pattern: hold</t>
        </is>
      </c>
      <c r="H112" s="30">
        <f>IF(W112&gt;0,X112/W112-1,"")</f>
        <v/>
      </c>
      <c r="I112" s="28" t="inlineStr"/>
      <c r="J112" s="28" t="inlineStr"/>
      <c r="K112" s="31" t="n">
        <v>235</v>
      </c>
      <c r="L112" s="28" t="n">
        <v>18</v>
      </c>
      <c r="M112" s="31" t="n">
        <v>165</v>
      </c>
      <c r="N112" s="28" t="n">
        <v>6</v>
      </c>
      <c r="O112" s="28" t="n">
        <v>65</v>
      </c>
      <c r="P112" s="31" t="n">
        <v>235</v>
      </c>
      <c r="Q112" s="28" t="n">
        <v>18</v>
      </c>
      <c r="R112" s="31" t="n">
        <v>165</v>
      </c>
      <c r="S112" s="28" t="n">
        <v>6</v>
      </c>
      <c r="T112" s="28" t="n">
        <v>65</v>
      </c>
      <c r="U112" s="31" t="n">
        <v>755</v>
      </c>
      <c r="V112" s="31">
        <f>R112*S112-P112</f>
        <v/>
      </c>
      <c r="W112" s="28" t="n">
        <v>41.94</v>
      </c>
      <c r="X112" s="28">
        <f>ROUND(V112/MAX(Q112,1),2)</f>
        <v/>
      </c>
      <c r="Y112" s="28" t="n">
        <v>3.21</v>
      </c>
      <c r="Z112" s="28">
        <f>IF(P112&gt;0,ROUND(V112/P112,2),"")</f>
        <v/>
      </c>
      <c r="AA112" s="28" t="n">
        <v>3.611</v>
      </c>
      <c r="AB112" s="28">
        <f>ROUND(T112/MAX(Q112,1),3)</f>
        <v/>
      </c>
      <c r="AC112" s="32" t="inlineStr">
        <is>
          <t>—</t>
        </is>
      </c>
      <c r="AD112" s="32" t="inlineStr">
        <is>
          <t>Treated like Mice Pudding, the middle of the 5 most similar EN dishes: you left it unchanged</t>
        </is>
      </c>
      <c r="AE112" s="32" t="inlineStr">
        <is>
          <t>Mice Pudding (EN Lv25: unchanged)</t>
        </is>
      </c>
      <c r="AF112" s="32" t="inlineStr">
        <is>
          <t>Stewed Ox Cheek, Boiled Mystery Meat, Mice Pudding, Tainted Sparkling Water, Lady Fingers</t>
        </is>
      </c>
      <c r="AG112" s="32" t="inlineStr">
        <is>
          <t>Quick-cash dish already (41.9 $/min); XP outlier (3.6 XP/min)</t>
        </is>
      </c>
      <c r="AH112" s="28" t="inlineStr">
        <is>
          <t>$410 · 180m · 505×$2 · 65xp</t>
        </is>
      </c>
      <c r="AI112" s="28" t="inlineStr">
        <is>
          <t>$400 · 180m · 230×$5 · 65xp</t>
        </is>
      </c>
      <c r="AJ112" s="28" t="inlineStr">
        <is>
          <t>3.33 → 4.17</t>
        </is>
      </c>
      <c r="AK112" s="28" t="inlineStr">
        <is>
          <t>ボイルされたあやしい肉</t>
        </is>
      </c>
    </row>
    <row r="113">
      <c r="A113" s="28" t="n">
        <v>110</v>
      </c>
      <c r="B113" s="28" t="inlineStr">
        <is>
          <t>Molar Breakers</t>
        </is>
      </c>
      <c r="C113" s="28" t="n">
        <v>45</v>
      </c>
      <c r="D113" s="28" t="inlineStr">
        <is>
          <t>Raid recipe (also sold)</t>
        </is>
      </c>
      <c r="E113" s="28" t="inlineStr">
        <is>
          <t>Molar Breakers</t>
        </is>
      </c>
      <c r="F113" s="28" t="inlineStr">
        <is>
          <t>No</t>
        </is>
      </c>
      <c r="G113" s="34" t="inlineStr">
        <is>
          <t>EN pattern: buff</t>
        </is>
      </c>
      <c r="H113" s="30">
        <f>IF(W113&gt;0,X113/W113-1,"")</f>
        <v/>
      </c>
      <c r="I113" s="28" t="inlineStr"/>
      <c r="J113" s="28" t="inlineStr"/>
      <c r="K113" s="31" t="n">
        <v>2000</v>
      </c>
      <c r="L113" s="28" t="n">
        <v>950</v>
      </c>
      <c r="M113" s="31" t="n">
        <v>650</v>
      </c>
      <c r="N113" s="28" t="n">
        <v>5</v>
      </c>
      <c r="O113" s="28" t="n">
        <v>85</v>
      </c>
      <c r="P113" s="31" t="n">
        <v>1250</v>
      </c>
      <c r="Q113" s="28" t="n">
        <v>950</v>
      </c>
      <c r="R113" s="31" t="n">
        <v>520</v>
      </c>
      <c r="S113" s="28" t="n">
        <v>5</v>
      </c>
      <c r="T113" s="28" t="n">
        <v>85</v>
      </c>
      <c r="U113" s="31" t="n">
        <v>1250</v>
      </c>
      <c r="V113" s="31">
        <f>R113*S113-P113</f>
        <v/>
      </c>
      <c r="W113" s="28" t="n">
        <v>1.32</v>
      </c>
      <c r="X113" s="28">
        <f>ROUND(V113/MAX(Q113,1),2)</f>
        <v/>
      </c>
      <c r="Y113" s="28" t="n">
        <v>0.62</v>
      </c>
      <c r="Z113" s="28">
        <f>IF(P113&gt;0,ROUND(V113/P113,2),"")</f>
        <v/>
      </c>
      <c r="AA113" s="28" t="n">
        <v>0.089</v>
      </c>
      <c r="AB113" s="28">
        <f>ROUND(T113/MAX(Q113,1),3)</f>
        <v/>
      </c>
      <c r="AC113" s="32" t="inlineStr">
        <is>
          <t>Cost 2,000-&gt;1,250 (-38%); Servings 650-&gt;520 (-20%)</t>
        </is>
      </c>
      <c r="AD113" s="32" t="inlineStr">
        <is>
          <t>Treated like Spaghettified Meat Balls, the middle of the 5 most similar EN dishes: you changed it cost -36%, servings -20% (profit ×1.03)</t>
        </is>
      </c>
      <c r="AE113" s="32" t="inlineStr">
        <is>
          <t>Spaghettified Meat Balls (EN Lv41: cost -36%, servings -20%)</t>
        </is>
      </c>
      <c r="AF113" s="32" t="inlineStr">
        <is>
          <t>Vegan Pizza, Spaghettified Meat Balls, Toe-Cooked Baked Beans, Thorn Bread, Broxy</t>
        </is>
      </c>
      <c r="AG113" s="32" t="inlineStr"/>
      <c r="AH113" s="28" t="inlineStr">
        <is>
          <t>$860 · 330m · 440×$4 · 90xp</t>
        </is>
      </c>
      <c r="AI113" s="28" t="inlineStr">
        <is>
          <t>$450 · 90m · 225×$6 · 25xp</t>
        </is>
      </c>
      <c r="AJ113" s="28" t="inlineStr">
        <is>
          <t>2.73 → 10.00</t>
        </is>
      </c>
      <c r="AK113" s="28" t="inlineStr">
        <is>
          <t>トゲパン</t>
        </is>
      </c>
    </row>
    <row r="114">
      <c r="A114" s="28" t="n">
        <v>111</v>
      </c>
      <c r="B114" s="28" t="inlineStr">
        <is>
          <t>Shark Tooth Dullers</t>
        </is>
      </c>
      <c r="C114" s="28" t="n">
        <v>34</v>
      </c>
      <c r="D114" s="28" t="inlineStr">
        <is>
          <t>Raid recipe (also sold)</t>
        </is>
      </c>
      <c r="E114" s="28" t="inlineStr">
        <is>
          <t>Shark Tooth Dullers</t>
        </is>
      </c>
      <c r="F114" s="28" t="inlineStr">
        <is>
          <t>No</t>
        </is>
      </c>
      <c r="G114" s="34" t="inlineStr">
        <is>
          <t>EN pattern: buff</t>
        </is>
      </c>
      <c r="H114" s="30">
        <f>IF(W114&gt;0,X114/W114-1,"")</f>
        <v/>
      </c>
      <c r="I114" s="28" t="inlineStr"/>
      <c r="J114" s="28" t="inlineStr"/>
      <c r="K114" s="31" t="n">
        <v>736</v>
      </c>
      <c r="L114" s="28" t="n">
        <v>300</v>
      </c>
      <c r="M114" s="31" t="n">
        <v>220</v>
      </c>
      <c r="N114" s="28" t="n">
        <v>5</v>
      </c>
      <c r="O114" s="28" t="n">
        <v>70</v>
      </c>
      <c r="P114" s="31" t="n">
        <v>700</v>
      </c>
      <c r="Q114" s="28" t="n">
        <v>300</v>
      </c>
      <c r="R114" s="31" t="n">
        <v>220</v>
      </c>
      <c r="S114" s="28" t="n">
        <v>10</v>
      </c>
      <c r="T114" s="28" t="n">
        <v>70</v>
      </c>
      <c r="U114" s="31" t="n">
        <v>364</v>
      </c>
      <c r="V114" s="31">
        <f>R114*S114-P114</f>
        <v/>
      </c>
      <c r="W114" s="28" t="n">
        <v>1.21</v>
      </c>
      <c r="X114" s="28">
        <f>ROUND(V114/MAX(Q114,1),2)</f>
        <v/>
      </c>
      <c r="Y114" s="28" t="n">
        <v>0.49</v>
      </c>
      <c r="Z114" s="28">
        <f>IF(P114&gt;0,ROUND(V114/P114,2),"")</f>
        <v/>
      </c>
      <c r="AA114" s="28" t="n">
        <v>0.233</v>
      </c>
      <c r="AB114" s="28">
        <f>ROUND(T114/MAX(Q114,1),3)</f>
        <v/>
      </c>
      <c r="AC114" s="32" t="inlineStr">
        <is>
          <t>Cost 736-&gt;700 (-5%); $/serving 5-&gt;10 (+100%)</t>
        </is>
      </c>
      <c r="AD114" s="32" t="inlineStr">
        <is>
          <t>Treated like Ox Tail, the middle of the 5 most similar EN dishes: you changed it cost -5%, $/serving 5-&gt;10 (profit ×4.12)</t>
        </is>
      </c>
      <c r="AE114" s="32" t="inlineStr">
        <is>
          <t>Ox Tail (EN Lv34: cost -5%, $/serving 5-&gt;10)</t>
        </is>
      </c>
      <c r="AF114" s="32" t="inlineStr">
        <is>
          <t>Ox Tail, Muscles Sprouts, Cuss-Turd Tart, Lion's Head Meatballs, Rancid Pulled Pork</t>
        </is>
      </c>
      <c r="AG114" s="32" t="inlineStr">
        <is>
          <t>$/serving raised (also changes tips)</t>
        </is>
      </c>
      <c r="AH114" s="28" t="inlineStr">
        <is>
          <t>$935 · 385m · 495×$4 · 95xp</t>
        </is>
      </c>
      <c r="AI114" s="28" t="inlineStr">
        <is>
          <t>$950 · 720m · 520×$6 · 178xp</t>
        </is>
      </c>
      <c r="AJ114" s="28" t="inlineStr">
        <is>
          <t>2.71 → 3.01</t>
        </is>
      </c>
      <c r="AK114" s="28" t="inlineStr">
        <is>
          <t>ロデオ牛のしっぽ</t>
        </is>
      </c>
    </row>
    <row r="115">
      <c r="A115" s="28" t="n">
        <v>112</v>
      </c>
      <c r="B115" s="28" t="inlineStr">
        <is>
          <t>Killer Squid</t>
        </is>
      </c>
      <c r="C115" s="28" t="n">
        <v>36</v>
      </c>
      <c r="D115" s="28" t="inlineStr">
        <is>
          <t>Raid recipe</t>
        </is>
      </c>
      <c r="E115" s="28" t="inlineStr">
        <is>
          <t>Killer Squid</t>
        </is>
      </c>
      <c r="F115" s="28" t="inlineStr">
        <is>
          <t>No</t>
        </is>
      </c>
      <c r="G115" s="34" t="inlineStr">
        <is>
          <t>EN pattern: buff</t>
        </is>
      </c>
      <c r="H115" s="30">
        <f>IF(W115&gt;0,X115/W115-1,"")</f>
        <v/>
      </c>
      <c r="I115" s="28" t="inlineStr"/>
      <c r="J115" s="28" t="inlineStr"/>
      <c r="K115" s="31" t="n">
        <v>1875</v>
      </c>
      <c r="L115" s="28" t="n">
        <v>810</v>
      </c>
      <c r="M115" s="31" t="n">
        <v>600</v>
      </c>
      <c r="N115" s="28" t="n">
        <v>5</v>
      </c>
      <c r="O115" s="28" t="n">
        <v>90</v>
      </c>
      <c r="P115" s="31" t="n">
        <v>1125</v>
      </c>
      <c r="Q115" s="28" t="n">
        <v>810</v>
      </c>
      <c r="R115" s="31" t="n">
        <v>450</v>
      </c>
      <c r="S115" s="28" t="n">
        <v>5</v>
      </c>
      <c r="T115" s="28" t="n">
        <v>90</v>
      </c>
      <c r="U115" s="31" t="n">
        <v>1125</v>
      </c>
      <c r="V115" s="31">
        <f>R115*S115-P115</f>
        <v/>
      </c>
      <c r="W115" s="28" t="n">
        <v>1.39</v>
      </c>
      <c r="X115" s="28">
        <f>ROUND(V115/MAX(Q115,1),2)</f>
        <v/>
      </c>
      <c r="Y115" s="28" t="n">
        <v>0.6</v>
      </c>
      <c r="Z115" s="28">
        <f>IF(P115&gt;0,ROUND(V115/P115,2),"")</f>
        <v/>
      </c>
      <c r="AA115" s="28" t="n">
        <v>0.111</v>
      </c>
      <c r="AB115" s="28">
        <f>ROUND(T115/MAX(Q115,1),3)</f>
        <v/>
      </c>
      <c r="AC115" s="32" t="inlineStr">
        <is>
          <t>Cost 1,875-&gt;1,125 (-40%); Servings 600-&gt;450 (-25%)</t>
        </is>
      </c>
      <c r="AD115" s="32" t="inlineStr">
        <is>
          <t>Treated like String (Theory) Cheese, the middle of the 5 most similar EN dishes: you changed it cost -40%, servings -25% (profit ×1.00)</t>
        </is>
      </c>
      <c r="AE115" s="32" t="inlineStr">
        <is>
          <t>String (Theory) Cheese (EN Lv24: cost -40%, servings -25%)</t>
        </is>
      </c>
      <c r="AF115" s="32" t="inlineStr">
        <is>
          <t>Toe-Cooked Baked Beans, Thorn Bread, Spaghettified Meat Balls, Vegan Pizza, String (Theory) Cheese</t>
        </is>
      </c>
      <c r="AG115" s="32" t="inlineStr"/>
      <c r="AH115" s="28" t="inlineStr">
        <is>
          <t>$1,005 · 500m · 520×$4 · 100xp</t>
        </is>
      </c>
      <c r="AI115" s="28" t="inlineStr">
        <is>
          <t>$1,600 · 1440m · 600×$9 · 288xp</t>
        </is>
      </c>
      <c r="AJ115" s="28" t="inlineStr">
        <is>
          <t>2.15 → 2.64</t>
        </is>
      </c>
      <c r="AK115" s="28" t="inlineStr">
        <is>
          <t>足の親指入りベークドビーンズ</t>
        </is>
      </c>
    </row>
    <row r="116">
      <c r="A116" s="28" t="n">
        <v>113</v>
      </c>
      <c r="B116" s="28" t="inlineStr">
        <is>
          <t>Snake-Snacks</t>
        </is>
      </c>
      <c r="C116" s="28" t="n">
        <v>37</v>
      </c>
      <c r="D116" s="28" t="inlineStr">
        <is>
          <t>Raid recipe</t>
        </is>
      </c>
      <c r="E116" s="28" t="inlineStr">
        <is>
          <t>Snake-Snacks</t>
        </is>
      </c>
      <c r="F116" s="28" t="inlineStr">
        <is>
          <t>No</t>
        </is>
      </c>
      <c r="G116" s="34" t="inlineStr">
        <is>
          <t>EN pattern: buff</t>
        </is>
      </c>
      <c r="H116" s="30">
        <f>IF(W116&gt;0,X116/W116-1,"")</f>
        <v/>
      </c>
      <c r="I116" s="28" t="inlineStr"/>
      <c r="J116" s="28" t="inlineStr"/>
      <c r="K116" s="31" t="n">
        <v>532</v>
      </c>
      <c r="L116" s="28" t="n">
        <v>800</v>
      </c>
      <c r="M116" s="31" t="n">
        <v>550</v>
      </c>
      <c r="N116" s="28" t="n">
        <v>5</v>
      </c>
      <c r="O116" s="28" t="n">
        <v>95</v>
      </c>
      <c r="P116" s="31" t="n">
        <v>532</v>
      </c>
      <c r="Q116" s="28" t="n">
        <v>800</v>
      </c>
      <c r="R116" s="31" t="n">
        <v>600</v>
      </c>
      <c r="S116" s="28" t="n">
        <v>5</v>
      </c>
      <c r="T116" s="28" t="n">
        <v>95</v>
      </c>
      <c r="U116" s="31" t="n">
        <v>2218</v>
      </c>
      <c r="V116" s="31">
        <f>R116*S116-P116</f>
        <v/>
      </c>
      <c r="W116" s="28" t="n">
        <v>2.77</v>
      </c>
      <c r="X116" s="28">
        <f>ROUND(V116/MAX(Q116,1),2)</f>
        <v/>
      </c>
      <c r="Y116" s="28" t="n">
        <v>4.17</v>
      </c>
      <c r="Z116" s="28">
        <f>IF(P116&gt;0,ROUND(V116/P116,2),"")</f>
        <v/>
      </c>
      <c r="AA116" s="28" t="n">
        <v>0.119</v>
      </c>
      <c r="AB116" s="28">
        <f>ROUND(T116/MAX(Q116,1),3)</f>
        <v/>
      </c>
      <c r="AC116" s="32" t="inlineStr">
        <is>
          <t>Servings 550-&gt;600 (+9%)</t>
        </is>
      </c>
      <c r="AD116" s="32" t="inlineStr">
        <is>
          <t>Treated like Coal-Slaw, the middle of the 5 most similar EN dishes: you changed it cost -0%, servings +9% (profit ×1.11)</t>
        </is>
      </c>
      <c r="AE116" s="32" t="inlineStr">
        <is>
          <t>Coal-Slaw (EN Lv37: cost -0%, servings +9%)</t>
        </is>
      </c>
      <c r="AF116" s="32" t="inlineStr">
        <is>
          <t>Coal-Slaw, Plutonian Cider, Vile Veal, Chicken Fried Snake, Roasted Scorpion King</t>
        </is>
      </c>
      <c r="AG116" s="32" t="inlineStr"/>
      <c r="AH116" s="28" t="inlineStr">
        <is>
          <t>$1,840 · 900m · 755×$5 · 155xp</t>
        </is>
      </c>
      <c r="AI116" s="28" t="inlineStr">
        <is>
          <t>$1,840 · 900m · 755×$5 · 155xp</t>
        </is>
      </c>
      <c r="AJ116" s="28" t="inlineStr">
        <is>
          <t>2.15 → 2.15</t>
        </is>
      </c>
      <c r="AK116" s="28" t="inlineStr">
        <is>
          <t>チャコールスロー</t>
        </is>
      </c>
    </row>
    <row r="117">
      <c r="A117" s="28" t="n">
        <v>114</v>
      </c>
      <c r="B117" s="28" t="inlineStr">
        <is>
          <t>Greasy Grizzly</t>
        </is>
      </c>
      <c r="C117" s="28" t="n">
        <v>10</v>
      </c>
      <c r="D117" s="28" t="inlineStr">
        <is>
          <t>Raid recipe</t>
        </is>
      </c>
      <c r="E117" s="28" t="inlineStr">
        <is>
          <t>Greasy Grizzly</t>
        </is>
      </c>
      <c r="F117" s="28" t="inlineStr">
        <is>
          <t>No</t>
        </is>
      </c>
      <c r="G117" s="34" t="inlineStr">
        <is>
          <t>EN pattern: buff</t>
        </is>
      </c>
      <c r="H117" s="30">
        <f>IF(W117&gt;0,X117/W117-1,"")</f>
        <v/>
      </c>
      <c r="I117" s="28" t="inlineStr"/>
      <c r="J117" s="28" t="inlineStr"/>
      <c r="K117" s="31" t="n">
        <v>1366</v>
      </c>
      <c r="L117" s="28" t="n">
        <v>1000</v>
      </c>
      <c r="M117" s="31" t="n">
        <v>626</v>
      </c>
      <c r="N117" s="28" t="n">
        <v>3</v>
      </c>
      <c r="O117" s="28" t="n">
        <v>125</v>
      </c>
      <c r="P117" s="31" t="n">
        <v>1366</v>
      </c>
      <c r="Q117" s="28" t="n">
        <v>1000</v>
      </c>
      <c r="R117" s="31" t="n">
        <v>650</v>
      </c>
      <c r="S117" s="28" t="n">
        <v>3</v>
      </c>
      <c r="T117" s="28" t="n">
        <v>125</v>
      </c>
      <c r="U117" s="31" t="n">
        <v>512</v>
      </c>
      <c r="V117" s="31">
        <f>R117*S117-P117</f>
        <v/>
      </c>
      <c r="W117" s="28" t="n">
        <v>0.51</v>
      </c>
      <c r="X117" s="28">
        <f>ROUND(V117/MAX(Q117,1),2)</f>
        <v/>
      </c>
      <c r="Y117" s="28" t="n">
        <v>0.37</v>
      </c>
      <c r="Z117" s="28">
        <f>IF(P117&gt;0,ROUND(V117/P117,2),"")</f>
        <v/>
      </c>
      <c r="AA117" s="28" t="n">
        <v>0.125</v>
      </c>
      <c r="AB117" s="28">
        <f>ROUND(T117/MAX(Q117,1),3)</f>
        <v/>
      </c>
      <c r="AC117" s="32" t="inlineStr">
        <is>
          <t>Servings 626-&gt;650 (+4%)</t>
        </is>
      </c>
      <c r="AD117" s="32" t="inlineStr">
        <is>
          <t>Treated like Rotisserie Chicken, the middle of the 5 most similar EN dishes: you changed it cost -1%, servings +4% (profit ×1.17)</t>
        </is>
      </c>
      <c r="AE117" s="32" t="inlineStr">
        <is>
          <t>Rotisserie Chicken (EN Lv10: cost -1%, servings +4%)</t>
        </is>
      </c>
      <c r="AF117" s="32" t="inlineStr">
        <is>
          <t>Rotisserie Chicken, Bangers &amp; Mush, Blood Pudding, Wormicelli, Sloppy "Joe"</t>
        </is>
      </c>
      <c r="AG117" s="32" t="inlineStr"/>
      <c r="AH117" s="28" t="inlineStr">
        <is>
          <t>$2,215 · 1160m · 800×$6 · 167xp</t>
        </is>
      </c>
      <c r="AI117" s="28" t="inlineStr">
        <is>
          <t>$1,600 · 1160m · 700×$6 · 167xp</t>
        </is>
      </c>
      <c r="AJ117" s="28" t="inlineStr">
        <is>
          <t>2.23 → 2.24</t>
        </is>
      </c>
      <c r="AK117" s="28" t="inlineStr">
        <is>
          <t>火あぶりチキン</t>
        </is>
      </c>
    </row>
    <row r="118">
      <c r="A118" s="28" t="n">
        <v>115</v>
      </c>
      <c r="B118" s="28" t="inlineStr">
        <is>
          <t>Elephant Toe Jam</t>
        </is>
      </c>
      <c r="C118" s="28" t="n">
        <v>13</v>
      </c>
      <c r="D118" s="28" t="inlineStr">
        <is>
          <t>Raid recipe</t>
        </is>
      </c>
      <c r="E118" s="28" t="inlineStr">
        <is>
          <t>Elephant Toe Jam</t>
        </is>
      </c>
      <c r="F118" s="28" t="inlineStr">
        <is>
          <t>No</t>
        </is>
      </c>
      <c r="G118" s="35" t="inlineStr">
        <is>
          <t>EN pattern: hold</t>
        </is>
      </c>
      <c r="H118" s="30">
        <f>IF(W118&gt;0,X118/W118-1,"")</f>
        <v/>
      </c>
      <c r="I118" s="28" t="inlineStr"/>
      <c r="J118" s="28" t="inlineStr"/>
      <c r="K118" s="31" t="n">
        <v>3850</v>
      </c>
      <c r="L118" s="28" t="n">
        <v>2000</v>
      </c>
      <c r="M118" s="31" t="n">
        <v>875</v>
      </c>
      <c r="N118" s="28" t="n">
        <v>7</v>
      </c>
      <c r="O118" s="28" t="n">
        <v>170</v>
      </c>
      <c r="P118" s="31" t="n">
        <v>3850</v>
      </c>
      <c r="Q118" s="28" t="n">
        <v>2000</v>
      </c>
      <c r="R118" s="31" t="n">
        <v>875</v>
      </c>
      <c r="S118" s="28" t="n">
        <v>7</v>
      </c>
      <c r="T118" s="28" t="n">
        <v>170</v>
      </c>
      <c r="U118" s="31" t="n">
        <v>2275</v>
      </c>
      <c r="V118" s="31">
        <f>R118*S118-P118</f>
        <v/>
      </c>
      <c r="W118" s="28" t="n">
        <v>1.14</v>
      </c>
      <c r="X118" s="28">
        <f>ROUND(V118/MAX(Q118,1),2)</f>
        <v/>
      </c>
      <c r="Y118" s="28" t="n">
        <v>0.59</v>
      </c>
      <c r="Z118" s="28">
        <f>IF(P118&gt;0,ROUND(V118/P118,2),"")</f>
        <v/>
      </c>
      <c r="AA118" s="28" t="n">
        <v>0.08500000000000001</v>
      </c>
      <c r="AB118" s="28">
        <f>ROUND(T118/MAX(Q118,1),3)</f>
        <v/>
      </c>
      <c r="AC118" s="32" t="inlineStr">
        <is>
          <t>—</t>
        </is>
      </c>
      <c r="AD118" s="32" t="inlineStr">
        <is>
          <t>Treated like Shamrock Shake, the middle of the 5 most similar EN dishes: you left it unchanged</t>
        </is>
      </c>
      <c r="AE118" s="32" t="inlineStr">
        <is>
          <t>Shamrock Shake (EN Lv11: unchanged)</t>
        </is>
      </c>
      <c r="AF118" s="32" t="inlineStr">
        <is>
          <t>Snot Cross Buns, Mourned Beef and Cabbage, Shamrock Shake, Escargut, Bul-goo-gi</t>
        </is>
      </c>
      <c r="AG118" s="32" t="inlineStr"/>
      <c r="AH118" s="28" t="inlineStr">
        <is>
          <t>$3,055 · 1440m · 860×$8 · 195xp</t>
        </is>
      </c>
      <c r="AI118" s="28" t="inlineStr">
        <is>
          <t>$3,050 · 1440m · 850×$14 · 195xp</t>
        </is>
      </c>
      <c r="AJ118" s="28" t="inlineStr">
        <is>
          <t>2.66 → 6.15</t>
        </is>
      </c>
      <c r="AK118" s="28" t="inlineStr">
        <is>
          <t>悲しみのカタバラ肉</t>
        </is>
      </c>
    </row>
    <row r="119">
      <c r="A119" s="28" t="n">
        <v>116</v>
      </c>
      <c r="B119" s="28" t="inlineStr">
        <is>
          <t>Vampire Ash Browns</t>
        </is>
      </c>
      <c r="C119" s="28" t="n">
        <v>46</v>
      </c>
      <c r="D119" s="28" t="inlineStr">
        <is>
          <t>Level track</t>
        </is>
      </c>
      <c r="E119" s="28" t="inlineStr">
        <is>
          <t>Vampire Ash Browns</t>
        </is>
      </c>
      <c r="F119" s="28" t="inlineStr">
        <is>
          <t>No</t>
        </is>
      </c>
      <c r="G119" s="34" t="inlineStr">
        <is>
          <t>EN pattern: buff</t>
        </is>
      </c>
      <c r="H119" s="30">
        <f>IF(W119&gt;0,X119/W119-1,"")</f>
        <v/>
      </c>
      <c r="I119" s="28" t="inlineStr"/>
      <c r="J119" s="28" t="inlineStr"/>
      <c r="K119" s="31" t="n">
        <v>723</v>
      </c>
      <c r="L119" s="28" t="n">
        <v>285</v>
      </c>
      <c r="M119" s="31" t="n">
        <v>225</v>
      </c>
      <c r="N119" s="28" t="n">
        <v>6</v>
      </c>
      <c r="O119" s="28" t="n">
        <v>65</v>
      </c>
      <c r="P119" s="31" t="n">
        <v>420</v>
      </c>
      <c r="Q119" s="28" t="n">
        <v>285</v>
      </c>
      <c r="R119" s="31" t="n">
        <v>245</v>
      </c>
      <c r="S119" s="28" t="n">
        <v>6</v>
      </c>
      <c r="T119" s="28" t="n">
        <v>65</v>
      </c>
      <c r="U119" s="31" t="n">
        <v>627</v>
      </c>
      <c r="V119" s="31">
        <f>R119*S119-P119</f>
        <v/>
      </c>
      <c r="W119" s="28" t="n">
        <v>2.2</v>
      </c>
      <c r="X119" s="28">
        <f>ROUND(V119/MAX(Q119,1),2)</f>
        <v/>
      </c>
      <c r="Y119" s="28" t="n">
        <v>0.87</v>
      </c>
      <c r="Z119" s="28">
        <f>IF(P119&gt;0,ROUND(V119/P119,2),"")</f>
        <v/>
      </c>
      <c r="AA119" s="28" t="n">
        <v>0.228</v>
      </c>
      <c r="AB119" s="28">
        <f>ROUND(T119/MAX(Q119,1),3)</f>
        <v/>
      </c>
      <c r="AC119" s="32" t="inlineStr">
        <is>
          <t>Cost 723-&gt;420 (-42%); Servings 225-&gt;245 (+9%)</t>
        </is>
      </c>
      <c r="AD119" s="32" t="inlineStr">
        <is>
          <t>Treated like Ew-Nagi, the middle of the 5 most similar EN dishes: you changed it cost -41%, servings +9% (profit ×1.48)</t>
        </is>
      </c>
      <c r="AE119" s="32" t="inlineStr">
        <is>
          <t>Ew-Nagi (EN Lv51: cost -41%, servings +9%)</t>
        </is>
      </c>
      <c r="AF119" s="32" t="inlineStr">
        <is>
          <t>Rancid Pulled Pork, Ew-Nagi, English Breakfast Pizza, Ox Tail, Knuckle Sandwich</t>
        </is>
      </c>
      <c r="AG119" s="32" t="inlineStr"/>
      <c r="AH119" s="28" t="inlineStr">
        <is>
          <t>$140 · 240m · 120×$3 · 50xp</t>
        </is>
      </c>
      <c r="AI119" s="28" t="inlineStr">
        <is>
          <t>$750 · 480m · 400×$6 · 100xp</t>
        </is>
      </c>
      <c r="AJ119" s="28" t="inlineStr">
        <is>
          <t>0.92 → 3.44</t>
        </is>
      </c>
      <c r="AK119" s="28" t="inlineStr">
        <is>
          <t>悪臭のポークサンド</t>
        </is>
      </c>
    </row>
    <row r="120">
      <c r="A120" s="28" t="n">
        <v>117</v>
      </c>
      <c r="B120" s="28" t="inlineStr">
        <is>
          <t>Staked Steak</t>
        </is>
      </c>
      <c r="C120" s="28" t="n">
        <v>47</v>
      </c>
      <c r="D120" s="28" t="inlineStr">
        <is>
          <t>Level track</t>
        </is>
      </c>
      <c r="E120" s="28" t="inlineStr">
        <is>
          <t>Staked Steak</t>
        </is>
      </c>
      <c r="F120" s="28" t="inlineStr">
        <is>
          <t>No</t>
        </is>
      </c>
      <c r="G120" s="34" t="inlineStr">
        <is>
          <t>EN pattern: buff</t>
        </is>
      </c>
      <c r="H120" s="30">
        <f>IF(W120&gt;0,X120/W120-1,"")</f>
        <v/>
      </c>
      <c r="I120" s="28" t="inlineStr"/>
      <c r="J120" s="28" t="inlineStr"/>
      <c r="K120" s="31" t="n">
        <v>1492</v>
      </c>
      <c r="L120" s="28" t="n">
        <v>475</v>
      </c>
      <c r="M120" s="31" t="n">
        <v>375</v>
      </c>
      <c r="N120" s="28" t="n">
        <v>6</v>
      </c>
      <c r="O120" s="28" t="n">
        <v>105</v>
      </c>
      <c r="P120" s="31" t="n">
        <v>1175</v>
      </c>
      <c r="Q120" s="28" t="n">
        <v>475</v>
      </c>
      <c r="R120" s="31" t="n">
        <v>375</v>
      </c>
      <c r="S120" s="28" t="n">
        <v>6</v>
      </c>
      <c r="T120" s="28" t="n">
        <v>105</v>
      </c>
      <c r="U120" s="31" t="n">
        <v>758</v>
      </c>
      <c r="V120" s="31">
        <f>R120*S120-P120</f>
        <v/>
      </c>
      <c r="W120" s="28" t="n">
        <v>1.6</v>
      </c>
      <c r="X120" s="28">
        <f>ROUND(V120/MAX(Q120,1),2)</f>
        <v/>
      </c>
      <c r="Y120" s="28" t="n">
        <v>0.51</v>
      </c>
      <c r="Z120" s="28">
        <f>IF(P120&gt;0,ROUND(V120/P120,2),"")</f>
        <v/>
      </c>
      <c r="AA120" s="28" t="n">
        <v>0.221</v>
      </c>
      <c r="AB120" s="28">
        <f>ROUND(T120/MAX(Q120,1),3)</f>
        <v/>
      </c>
      <c r="AC120" s="32" t="inlineStr">
        <is>
          <t>Cost 1,492-&gt;1,175 (-21%)</t>
        </is>
      </c>
      <c r="AD120" s="32" t="inlineStr">
        <is>
          <t>Treated like Europan Sea Slugs, the middle of the 5 most similar EN dishes: you changed it cost -20% (profit ×1.36)</t>
        </is>
      </c>
      <c r="AE120" s="32" t="inlineStr">
        <is>
          <t>Europan Sea Slugs (EN Lv40: cost -20%)</t>
        </is>
      </c>
      <c r="AF120" s="32" t="inlineStr">
        <is>
          <t>Cracked Ribs, Europan Sea Slugs, Lion's Head Meatballs, Toe-Cooked Baked Beans, Vegan Pizza</t>
        </is>
      </c>
      <c r="AG120" s="32" t="inlineStr"/>
      <c r="AH120" s="28" t="inlineStr">
        <is>
          <t>$200 · 15m · 110×$2 · 40xp</t>
        </is>
      </c>
      <c r="AI120" s="28" t="inlineStr">
        <is>
          <t>$200 · 15m · 60×$6 · 40xp</t>
        </is>
      </c>
      <c r="AJ120" s="28" t="inlineStr">
        <is>
          <t>1.33 → 10.67</t>
        </is>
      </c>
      <c r="AK120" s="28" t="inlineStr">
        <is>
          <t>最後のスペアリブ</t>
        </is>
      </c>
    </row>
    <row r="121">
      <c r="A121" s="28" t="n">
        <v>118</v>
      </c>
      <c r="B121" s="28" t="inlineStr">
        <is>
          <t>Nosfera-Stew</t>
        </is>
      </c>
      <c r="C121" s="28" t="n">
        <v>48</v>
      </c>
      <c r="D121" s="28" t="inlineStr">
        <is>
          <t>Level track</t>
        </is>
      </c>
      <c r="E121" s="28" t="inlineStr">
        <is>
          <t>Nosfera-Stew</t>
        </is>
      </c>
      <c r="F121" s="28" t="inlineStr">
        <is>
          <t>No</t>
        </is>
      </c>
      <c r="G121" s="34" t="inlineStr">
        <is>
          <t>EN pattern: buff</t>
        </is>
      </c>
      <c r="H121" s="30">
        <f>IF(W121&gt;0,X121/W121-1,"")</f>
        <v/>
      </c>
      <c r="I121" s="28" t="inlineStr"/>
      <c r="J121" s="28" t="inlineStr"/>
      <c r="K121" s="31" t="n">
        <v>3000</v>
      </c>
      <c r="L121" s="28" t="n">
        <v>1440</v>
      </c>
      <c r="M121" s="31" t="n">
        <v>500</v>
      </c>
      <c r="N121" s="28" t="n">
        <v>7</v>
      </c>
      <c r="O121" s="28" t="n">
        <v>100</v>
      </c>
      <c r="P121" s="31" t="n">
        <v>2300</v>
      </c>
      <c r="Q121" s="28" t="n">
        <v>1440</v>
      </c>
      <c r="R121" s="31" t="n">
        <v>440</v>
      </c>
      <c r="S121" s="28" t="n">
        <v>9</v>
      </c>
      <c r="T121" s="28" t="n">
        <v>100</v>
      </c>
      <c r="U121" s="31" t="n">
        <v>500</v>
      </c>
      <c r="V121" s="31">
        <f>R121*S121-P121</f>
        <v/>
      </c>
      <c r="W121" s="28" t="n">
        <v>0.35</v>
      </c>
      <c r="X121" s="28">
        <f>ROUND(V121/MAX(Q121,1),2)</f>
        <v/>
      </c>
      <c r="Y121" s="28" t="n">
        <v>0.17</v>
      </c>
      <c r="Z121" s="28">
        <f>IF(P121&gt;0,ROUND(V121/P121,2),"")</f>
        <v/>
      </c>
      <c r="AA121" s="28" t="n">
        <v>0.06900000000000001</v>
      </c>
      <c r="AB121" s="28">
        <f>ROUND(T121/MAX(Q121,1),3)</f>
        <v/>
      </c>
      <c r="AC121" s="32" t="inlineStr">
        <is>
          <t>Cost 3,000-&gt;2,300 (-23%); Servings 500-&gt;440 (-12%); $/serving 7-&gt;9 (+29%)</t>
        </is>
      </c>
      <c r="AD121" s="32" t="inlineStr">
        <is>
          <t>Treated like Swampish Mousse, the middle of the 5 most similar EN dishes: you changed it cost -11%, servings -12%, $/serving 3-&gt;4 (profit ×3.33)</t>
        </is>
      </c>
      <c r="AE121" s="32" t="inlineStr">
        <is>
          <t>Swampish Mousse (EN Lv63: cost -11%, servings -12%, $/serving 3-&gt;4)</t>
        </is>
      </c>
      <c r="AF121" s="32" t="inlineStr">
        <is>
          <t>Gruesome Gruel, Anti Hero Sandwich, Swampish Mousse, Bleeding Hearts, Thumb Pudding</t>
        </is>
      </c>
      <c r="AG121" s="32" t="inlineStr">
        <is>
          <t>$/serving raised (also changes tips)</t>
        </is>
      </c>
      <c r="AH121" s="28" t="inlineStr">
        <is>
          <t>$200 · 100m · 450×$1 · 20xp</t>
        </is>
      </c>
      <c r="AI121" s="28" t="inlineStr">
        <is>
          <t>$1,000 · 720m · 575×$6 · 144xp</t>
        </is>
      </c>
      <c r="AJ121" s="28" t="inlineStr">
        <is>
          <t>2.50 → 3.40</t>
        </is>
      </c>
      <c r="AK121" s="28" t="inlineStr">
        <is>
          <t>目玉のおかゆ</t>
        </is>
      </c>
    </row>
    <row r="122">
      <c r="A122" s="28" t="n">
        <v>119</v>
      </c>
      <c r="B122" s="28" t="inlineStr">
        <is>
          <t>Bat BQ</t>
        </is>
      </c>
      <c r="C122" s="28" t="n">
        <v>49</v>
      </c>
      <c r="D122" s="28" t="inlineStr">
        <is>
          <t>Level track</t>
        </is>
      </c>
      <c r="E122" s="28" t="inlineStr">
        <is>
          <t>Bat BQ</t>
        </is>
      </c>
      <c r="F122" s="28" t="inlineStr">
        <is>
          <t>No</t>
        </is>
      </c>
      <c r="G122" s="34" t="inlineStr">
        <is>
          <t>EN pattern: buff</t>
        </is>
      </c>
      <c r="H122" s="30">
        <f>IF(W122&gt;0,X122/W122-1,"")</f>
        <v/>
      </c>
      <c r="I122" s="28" t="inlineStr"/>
      <c r="J122" s="28" t="inlineStr"/>
      <c r="K122" s="31" t="n">
        <v>4000</v>
      </c>
      <c r="L122" s="28" t="n">
        <v>2880</v>
      </c>
      <c r="M122" s="31" t="n">
        <v>600</v>
      </c>
      <c r="N122" s="28" t="n">
        <v>8</v>
      </c>
      <c r="O122" s="28" t="n">
        <v>110</v>
      </c>
      <c r="P122" s="31" t="n">
        <v>2925</v>
      </c>
      <c r="Q122" s="28" t="n">
        <v>2880</v>
      </c>
      <c r="R122" s="31" t="n">
        <v>400</v>
      </c>
      <c r="S122" s="28" t="n">
        <v>13</v>
      </c>
      <c r="T122" s="28" t="n">
        <v>110</v>
      </c>
      <c r="U122" s="31" t="n">
        <v>800</v>
      </c>
      <c r="V122" s="31">
        <f>R122*S122-P122</f>
        <v/>
      </c>
      <c r="W122" s="28" t="n">
        <v>0.28</v>
      </c>
      <c r="X122" s="28">
        <f>ROUND(V122/MAX(Q122,1),2)</f>
        <v/>
      </c>
      <c r="Y122" s="28" t="n">
        <v>0.2</v>
      </c>
      <c r="Z122" s="28">
        <f>IF(P122&gt;0,ROUND(V122/P122,2),"")</f>
        <v/>
      </c>
      <c r="AA122" s="28" t="n">
        <v>0.038</v>
      </c>
      <c r="AB122" s="28">
        <f>ROUND(T122/MAX(Q122,1),3)</f>
        <v/>
      </c>
      <c r="AC122" s="32" t="inlineStr">
        <is>
          <t>Cost 4,000-&gt;2,925 (-27%); Servings 600-&gt;400 (-33%); $/serving 8-&gt;13 (+62%)</t>
        </is>
      </c>
      <c r="AD122" s="32" t="inlineStr">
        <is>
          <t>Treated like Fruit Cake, the middle of the 5 most similar EN dishes: you changed it cost -27%, servings -33%, $/serving 7-&gt;11 (profit ×1.83)</t>
        </is>
      </c>
      <c r="AE122" s="32" t="inlineStr">
        <is>
          <t>Fruit Cake (EN Lv29: cost -27%, servings -33%, $/serving 7-&gt;11)</t>
        </is>
      </c>
      <c r="AF122" s="32" t="inlineStr">
        <is>
          <t>Fruit Cake, Gruesome Gruel, Anti Hero Sandwich, Bleeding Hearts, Thumb Pudding</t>
        </is>
      </c>
      <c r="AG122" s="32" t="inlineStr">
        <is>
          <t>Loose match: no EN dish is very close; $/serving raised (also changes tips)</t>
        </is>
      </c>
      <c r="AH122" s="28" t="inlineStr">
        <is>
          <t>$210 · 220m · 145×$3 · 45xp</t>
        </is>
      </c>
      <c r="AI122" s="28" t="inlineStr">
        <is>
          <t>$425 · 120m · 215×$6 · 25xp</t>
        </is>
      </c>
      <c r="AJ122" s="28" t="inlineStr">
        <is>
          <t>1.02 → 7.21</t>
        </is>
      </c>
      <c r="AK122" s="28" t="inlineStr">
        <is>
          <t>親指ブッチンプリン</t>
        </is>
      </c>
    </row>
    <row r="123">
      <c r="A123" s="28" t="n">
        <v>120</v>
      </c>
      <c r="B123" s="28" t="inlineStr">
        <is>
          <t>Heart Dog on a Stake</t>
        </is>
      </c>
      <c r="C123" s="28" t="n">
        <v>3</v>
      </c>
      <c r="D123" s="28" t="inlineStr">
        <is>
          <t>Event recipe</t>
        </is>
      </c>
      <c r="E123" s="28" t="inlineStr">
        <is>
          <t>Heart Dog on a Stake</t>
        </is>
      </c>
      <c r="F123" s="28" t="inlineStr">
        <is>
          <t>No</t>
        </is>
      </c>
      <c r="G123" s="35" t="inlineStr">
        <is>
          <t>EN pattern: hold</t>
        </is>
      </c>
      <c r="H123" s="30">
        <f>IF(W123&gt;0,X123/W123-1,"")</f>
        <v/>
      </c>
      <c r="I123" s="28" t="inlineStr"/>
      <c r="J123" s="28" t="inlineStr"/>
      <c r="K123" s="31" t="n">
        <v>810</v>
      </c>
      <c r="L123" s="28" t="n">
        <v>60</v>
      </c>
      <c r="M123" s="31" t="n">
        <v>180</v>
      </c>
      <c r="N123" s="28" t="n">
        <v>5</v>
      </c>
      <c r="O123" s="28" t="n">
        <v>15</v>
      </c>
      <c r="P123" s="31" t="n">
        <v>810</v>
      </c>
      <c r="Q123" s="28" t="n">
        <v>60</v>
      </c>
      <c r="R123" s="31" t="n">
        <v>180</v>
      </c>
      <c r="S123" s="28" t="n">
        <v>5</v>
      </c>
      <c r="T123" s="28" t="n">
        <v>15</v>
      </c>
      <c r="U123" s="31" t="n">
        <v>90</v>
      </c>
      <c r="V123" s="31">
        <f>R123*S123-P123</f>
        <v/>
      </c>
      <c r="W123" s="28" t="n">
        <v>1.5</v>
      </c>
      <c r="X123" s="28">
        <f>ROUND(V123/MAX(Q123,1),2)</f>
        <v/>
      </c>
      <c r="Y123" s="28" t="n">
        <v>0.11</v>
      </c>
      <c r="Z123" s="28">
        <f>IF(P123&gt;0,ROUND(V123/P123,2),"")</f>
        <v/>
      </c>
      <c r="AA123" s="28" t="n">
        <v>0.25</v>
      </c>
      <c r="AB123" s="28">
        <f>ROUND(T123/MAX(Q123,1),3)</f>
        <v/>
      </c>
      <c r="AC123" s="32" t="inlineStr">
        <is>
          <t>—</t>
        </is>
      </c>
      <c r="AD123" s="32" t="inlineStr">
        <is>
          <t>Treated like Brine Shrimp Cocktail, the middle of the 5 most similar EN dishes: you left it unchanged</t>
        </is>
      </c>
      <c r="AE123" s="32" t="inlineStr">
        <is>
          <t>Brine Shrimp Cocktail (EN Lv22: unchanged)</t>
        </is>
      </c>
      <c r="AF123" s="32" t="inlineStr">
        <is>
          <t>Dracooler, Hunch-Back Roast, Brine Shrimp Cocktail, Tofu Brain, Stake Tar-Tar</t>
        </is>
      </c>
      <c r="AG123" s="32" t="inlineStr">
        <is>
          <t>Event dish: offline unlock undecided (START_HERE §8)</t>
        </is>
      </c>
      <c r="AH123" s="28" t="inlineStr">
        <is>
          <t>$225 · 180m · 250×$2 · 35xp</t>
        </is>
      </c>
      <c r="AI123" s="28" t="inlineStr">
        <is>
          <t>$325 · 90m · 60×$14 · 18xp</t>
        </is>
      </c>
      <c r="AJ123" s="28" t="inlineStr">
        <is>
          <t>1.53 → 5.72</t>
        </is>
      </c>
      <c r="AK123" s="28" t="inlineStr">
        <is>
          <t>ラクーンティー</t>
        </is>
      </c>
    </row>
    <row r="124">
      <c r="A124" s="28" t="n">
        <v>121</v>
      </c>
      <c r="B124" s="28" t="inlineStr">
        <is>
          <t>Garlic Choke</t>
        </is>
      </c>
      <c r="C124" s="28" t="n">
        <v>10</v>
      </c>
      <c r="D124" s="28" t="inlineStr">
        <is>
          <t>Event recipe</t>
        </is>
      </c>
      <c r="E124" s="28" t="inlineStr">
        <is>
          <t>Garlic Choke</t>
        </is>
      </c>
      <c r="F124" s="28" t="inlineStr">
        <is>
          <t>No</t>
        </is>
      </c>
      <c r="G124" s="34" t="inlineStr">
        <is>
          <t>EN pattern: buff</t>
        </is>
      </c>
      <c r="H124" s="30">
        <f>IF(W124&gt;0,X124/W124-1,"")</f>
        <v/>
      </c>
      <c r="I124" s="28" t="inlineStr"/>
      <c r="J124" s="28" t="inlineStr"/>
      <c r="K124" s="31" t="n">
        <v>1810</v>
      </c>
      <c r="L124" s="28" t="n">
        <v>360</v>
      </c>
      <c r="M124" s="31" t="n">
        <v>400</v>
      </c>
      <c r="N124" s="28" t="n">
        <v>5</v>
      </c>
      <c r="O124" s="28" t="n">
        <v>30</v>
      </c>
      <c r="P124" s="31" t="n">
        <v>1425</v>
      </c>
      <c r="Q124" s="28" t="n">
        <v>360</v>
      </c>
      <c r="R124" s="31" t="n">
        <v>425</v>
      </c>
      <c r="S124" s="28" t="n">
        <v>5</v>
      </c>
      <c r="T124" s="28" t="n">
        <v>30</v>
      </c>
      <c r="U124" s="31" t="n">
        <v>190</v>
      </c>
      <c r="V124" s="31">
        <f>R124*S124-P124</f>
        <v/>
      </c>
      <c r="W124" s="28" t="n">
        <v>0.53</v>
      </c>
      <c r="X124" s="28">
        <f>ROUND(V124/MAX(Q124,1),2)</f>
        <v/>
      </c>
      <c r="Y124" s="28" t="n">
        <v>0.1</v>
      </c>
      <c r="Z124" s="28">
        <f>IF(P124&gt;0,ROUND(V124/P124,2),"")</f>
        <v/>
      </c>
      <c r="AA124" s="28" t="n">
        <v>0.083</v>
      </c>
      <c r="AB124" s="28">
        <f>ROUND(T124/MAX(Q124,1),3)</f>
        <v/>
      </c>
      <c r="AC124" s="32" t="inlineStr">
        <is>
          <t>Cost 1,810-&gt;1,425 (-21%); Servings 400-&gt;425 (+6%)</t>
        </is>
      </c>
      <c r="AD124" s="32" t="inlineStr">
        <is>
          <t>Treated like Fish Fingers, the middle of the 5 most similar EN dishes: you changed it cost -20%, servings +6% (profit ×2.12)</t>
        </is>
      </c>
      <c r="AE124" s="32" t="inlineStr">
        <is>
          <t>Fish Fingers (EN Lv27: cost -20%, servings +6%)</t>
        </is>
      </c>
      <c r="AF124" s="32" t="inlineStr">
        <is>
          <t>Fish Fingers, Rotten-Apple Pie, Fileted Minion, Foie Gross, Cuss-Turd Tart</t>
        </is>
      </c>
      <c r="AG124" s="32" t="inlineStr">
        <is>
          <t>Loose match: no EN dish is very close; Event dish: offline unlock undecided (START_HERE §8)</t>
        </is>
      </c>
      <c r="AH124" s="28" t="inlineStr">
        <is>
          <t>$500 · 450m · 300×$1 · 30xp</t>
        </is>
      </c>
      <c r="AI124" s="28" t="inlineStr">
        <is>
          <t>$3,000 · 2160m · 750×$12 · 144xp</t>
        </is>
      </c>
      <c r="AJ124" s="28" t="inlineStr">
        <is>
          <t>-0.44 → 2.78</t>
        </is>
      </c>
      <c r="AK124" s="28" t="inlineStr">
        <is>
          <t>ジュアヴォの活造り</t>
        </is>
      </c>
    </row>
    <row r="125">
      <c r="A125" s="28" t="n">
        <v>122</v>
      </c>
      <c r="B125" s="28" t="inlineStr">
        <is>
          <t>Whole Roast Licker</t>
        </is>
      </c>
      <c r="C125" s="28" t="n">
        <v>20</v>
      </c>
      <c r="D125" s="28" t="inlineStr">
        <is>
          <t>Event recipe</t>
        </is>
      </c>
      <c r="E125" s="28" t="inlineStr">
        <is>
          <t>JP-only</t>
        </is>
      </c>
      <c r="F125" s="28" t="inlineStr"/>
      <c r="G125" s="34" t="inlineStr">
        <is>
          <t>EN pattern: buff</t>
        </is>
      </c>
      <c r="H125" s="30">
        <f>IF(W125&gt;0,X125/W125-1,"")</f>
        <v/>
      </c>
      <c r="I125" s="28" t="inlineStr"/>
      <c r="J125" s="28" t="inlineStr"/>
      <c r="K125" s="31" t="n">
        <v>2810</v>
      </c>
      <c r="L125" s="28" t="n">
        <v>720</v>
      </c>
      <c r="M125" s="31" t="n">
        <v>600</v>
      </c>
      <c r="N125" s="28" t="n">
        <v>5</v>
      </c>
      <c r="O125" s="28" t="n">
        <v>60</v>
      </c>
      <c r="P125" s="31" t="n">
        <v>2225</v>
      </c>
      <c r="Q125" s="28" t="n">
        <v>720</v>
      </c>
      <c r="R125" s="31" t="n">
        <v>640</v>
      </c>
      <c r="S125" s="28" t="n">
        <v>5</v>
      </c>
      <c r="T125" s="28" t="n">
        <v>60</v>
      </c>
      <c r="U125" s="31" t="n">
        <v>190</v>
      </c>
      <c r="V125" s="31">
        <f>R125*S125-P125</f>
        <v/>
      </c>
      <c r="W125" s="28" t="n">
        <v>0.26</v>
      </c>
      <c r="X125" s="28">
        <f>ROUND(V125/MAX(Q125,1),2)</f>
        <v/>
      </c>
      <c r="Y125" s="28" t="n">
        <v>0.07000000000000001</v>
      </c>
      <c r="Z125" s="28">
        <f>IF(P125&gt;0,ROUND(V125/P125,2),"")</f>
        <v/>
      </c>
      <c r="AA125" s="28" t="n">
        <v>0.083</v>
      </c>
      <c r="AB125" s="28">
        <f>ROUND(T125/MAX(Q125,1),3)</f>
        <v/>
      </c>
      <c r="AC125" s="32" t="inlineStr">
        <is>
          <t>Cost 2,810-&gt;2,225 (-21%); Servings 600-&gt;640 (+7%)</t>
        </is>
      </c>
      <c r="AD125" s="32" t="inlineStr">
        <is>
          <t>Treated like Fish Fingers, the middle of the 5 most similar EN dishes: you changed it cost -20%, servings +6% (profit ×2.12)</t>
        </is>
      </c>
      <c r="AE125" s="32" t="inlineStr">
        <is>
          <t>Fish Fingers (EN Lv27: cost -20%, servings +6%)</t>
        </is>
      </c>
      <c r="AF125" s="32" t="inlineStr">
        <is>
          <t>Anti Hero Sandwich, Gruesome Gruel, Fish Fingers, Blood Pudding, Bangers &amp; Mush</t>
        </is>
      </c>
      <c r="AG125" s="32" t="inlineStr">
        <is>
          <t>Event dish: offline unlock undecided (START_HERE §8)</t>
        </is>
      </c>
      <c r="AH125" s="28" t="inlineStr"/>
      <c r="AI125" s="28" t="inlineStr"/>
      <c r="AJ125" s="28" t="inlineStr"/>
      <c r="AK125" s="28" t="inlineStr">
        <is>
          <t>リッカーの丸焼き</t>
        </is>
      </c>
    </row>
    <row r="126">
      <c r="A126" s="28" t="n">
        <v>123</v>
      </c>
      <c r="B126" s="28" t="inlineStr">
        <is>
          <t>Rocket Lunch</t>
        </is>
      </c>
      <c r="C126" s="28" t="n">
        <v>30</v>
      </c>
      <c r="D126" s="28" t="inlineStr">
        <is>
          <t>Event recipe</t>
        </is>
      </c>
      <c r="E126" s="28" t="inlineStr">
        <is>
          <t>JP-only</t>
        </is>
      </c>
      <c r="F126" s="28" t="inlineStr"/>
      <c r="G126" s="34" t="inlineStr">
        <is>
          <t>EN pattern: buff</t>
        </is>
      </c>
      <c r="H126" s="30">
        <f>IF(W126&gt;0,X126/W126-1,"")</f>
        <v/>
      </c>
      <c r="I126" s="28" t="inlineStr"/>
      <c r="J126" s="28" t="inlineStr"/>
      <c r="K126" s="31" t="n">
        <v>3810</v>
      </c>
      <c r="L126" s="28" t="n">
        <v>1080</v>
      </c>
      <c r="M126" s="31" t="n">
        <v>800</v>
      </c>
      <c r="N126" s="28" t="n">
        <v>5</v>
      </c>
      <c r="O126" s="28" t="n">
        <v>120</v>
      </c>
      <c r="P126" s="31" t="n">
        <v>3375</v>
      </c>
      <c r="Q126" s="28" t="n">
        <v>1080</v>
      </c>
      <c r="R126" s="31" t="n">
        <v>705</v>
      </c>
      <c r="S126" s="28" t="n">
        <v>7</v>
      </c>
      <c r="T126" s="28" t="n">
        <v>120</v>
      </c>
      <c r="U126" s="31" t="n">
        <v>190</v>
      </c>
      <c r="V126" s="31">
        <f>R126*S126-P126</f>
        <v/>
      </c>
      <c r="W126" s="28" t="n">
        <v>0.18</v>
      </c>
      <c r="X126" s="28">
        <f>ROUND(V126/MAX(Q126,1),2)</f>
        <v/>
      </c>
      <c r="Y126" s="28" t="n">
        <v>0.05</v>
      </c>
      <c r="Z126" s="28">
        <f>IF(P126&gt;0,ROUND(V126/P126,2),"")</f>
        <v/>
      </c>
      <c r="AA126" s="28" t="n">
        <v>0.111</v>
      </c>
      <c r="AB126" s="28">
        <f>ROUND(T126/MAX(Q126,1),3)</f>
        <v/>
      </c>
      <c r="AC126" s="32" t="inlineStr">
        <is>
          <t>Cost 3,810-&gt;3,375 (-11%); Servings 800-&gt;705 (-12%); $/serving 5-&gt;7 (+40%)</t>
        </is>
      </c>
      <c r="AD126" s="32" t="inlineStr">
        <is>
          <t>Treated like Swampish Mousse, the middle of the 5 most similar EN dishes: you changed it cost -11%, servings -12%, $/serving 3-&gt;4 (profit ×3.33)</t>
        </is>
      </c>
      <c r="AE126" s="32" t="inlineStr">
        <is>
          <t>Swampish Mousse (EN Lv63: cost -11%, servings -12%, $/serving 3-&gt;4)</t>
        </is>
      </c>
      <c r="AF126" s="32" t="inlineStr">
        <is>
          <t>Anti Hero Sandwich, Gruesome Gruel, Swampish Mousse, Blood Pudding, Fish Fingers</t>
        </is>
      </c>
      <c r="AG126" s="32" t="inlineStr">
        <is>
          <t>Loose match: no EN dish is very close; $/serving raised (also changes tips); Event dish: offline unlock undecided (START_HERE §8)</t>
        </is>
      </c>
      <c r="AH126" s="28" t="inlineStr"/>
      <c r="AI126" s="28" t="inlineStr"/>
      <c r="AJ126" s="28" t="inlineStr"/>
      <c r="AK126" s="28" t="inlineStr">
        <is>
          <t>ロケットランチ</t>
        </is>
      </c>
    </row>
    <row r="127">
      <c r="A127" s="28" t="n">
        <v>124</v>
      </c>
      <c r="B127" s="28" t="inlineStr">
        <is>
          <t>Crypt Cake</t>
        </is>
      </c>
      <c r="C127" s="28" t="n">
        <v>50</v>
      </c>
      <c r="D127" s="28" t="inlineStr">
        <is>
          <t>Level track</t>
        </is>
      </c>
      <c r="E127" s="28" t="inlineStr">
        <is>
          <t>Crypt Cake</t>
        </is>
      </c>
      <c r="F127" s="28" t="inlineStr">
        <is>
          <t>No</t>
        </is>
      </c>
      <c r="G127" s="34" t="inlineStr">
        <is>
          <t>EN pattern: buff</t>
        </is>
      </c>
      <c r="H127" s="30">
        <f>IF(W127&gt;0,X127/W127-1,"")</f>
        <v/>
      </c>
      <c r="I127" s="28" t="inlineStr"/>
      <c r="J127" s="28" t="inlineStr"/>
      <c r="K127" s="31" t="n">
        <v>425</v>
      </c>
      <c r="L127" s="28" t="n">
        <v>800</v>
      </c>
      <c r="M127" s="31" t="n">
        <v>550</v>
      </c>
      <c r="N127" s="28" t="n">
        <v>5</v>
      </c>
      <c r="O127" s="28" t="n">
        <v>80</v>
      </c>
      <c r="P127" s="31" t="n">
        <v>425</v>
      </c>
      <c r="Q127" s="28" t="n">
        <v>800</v>
      </c>
      <c r="R127" s="31" t="n">
        <v>600</v>
      </c>
      <c r="S127" s="28" t="n">
        <v>5</v>
      </c>
      <c r="T127" s="28" t="n">
        <v>80</v>
      </c>
      <c r="U127" s="31" t="n">
        <v>2325</v>
      </c>
      <c r="V127" s="31">
        <f>R127*S127-P127</f>
        <v/>
      </c>
      <c r="W127" s="28" t="n">
        <v>2.91</v>
      </c>
      <c r="X127" s="28">
        <f>ROUND(V127/MAX(Q127,1),2)</f>
        <v/>
      </c>
      <c r="Y127" s="28" t="n">
        <v>5.47</v>
      </c>
      <c r="Z127" s="28">
        <f>IF(P127&gt;0,ROUND(V127/P127,2),"")</f>
        <v/>
      </c>
      <c r="AA127" s="28" t="n">
        <v>0.1</v>
      </c>
      <c r="AB127" s="28">
        <f>ROUND(T127/MAX(Q127,1),3)</f>
        <v/>
      </c>
      <c r="AC127" s="32" t="inlineStr">
        <is>
          <t>Servings 550-&gt;600 (+9%)</t>
        </is>
      </c>
      <c r="AD127" s="32" t="inlineStr">
        <is>
          <t>Treated like Coal-Slaw, the middle of the 5 most similar EN dishes: you changed it cost -0%, servings +9% (profit ×1.11)</t>
        </is>
      </c>
      <c r="AE127" s="32" t="inlineStr">
        <is>
          <t>Coal-Slaw (EN Lv37: cost -0%, servings +9%)</t>
        </is>
      </c>
      <c r="AF127" s="32" t="inlineStr">
        <is>
          <t>Plutonian Cider, Vile Veal, Coal-Slaw, Roasted Scorpion King, Bento Brain Box</t>
        </is>
      </c>
      <c r="AG127" s="32" t="inlineStr"/>
      <c r="AH127" s="28" t="inlineStr">
        <is>
          <t>$780 · 420m · 750×$2 · 75xp</t>
        </is>
      </c>
      <c r="AI127" s="28" t="inlineStr">
        <is>
          <t>$250 · 420m · 750×$2 · 75xp</t>
        </is>
      </c>
      <c r="AJ127" s="28" t="inlineStr">
        <is>
          <t>1.71 → 2.98</t>
        </is>
      </c>
      <c r="AK127" s="28" t="inlineStr">
        <is>
          <t>お下劣なラムチョップ</t>
        </is>
      </c>
    </row>
    <row r="128">
      <c r="A128" s="28" t="n">
        <v>125</v>
      </c>
      <c r="B128" s="28" t="inlineStr">
        <is>
          <t>Crucy Fries</t>
        </is>
      </c>
      <c r="C128" s="28" t="n">
        <v>51</v>
      </c>
      <c r="D128" s="28" t="inlineStr">
        <is>
          <t>Level track</t>
        </is>
      </c>
      <c r="E128" s="28" t="inlineStr">
        <is>
          <t>Crucy Fries</t>
        </is>
      </c>
      <c r="F128" s="28" t="inlineStr">
        <is>
          <t>No</t>
        </is>
      </c>
      <c r="G128" s="35" t="inlineStr">
        <is>
          <t>EN pattern: hold</t>
        </is>
      </c>
      <c r="H128" s="30">
        <f>IF(W128&gt;0,X128/W128-1,"")</f>
        <v/>
      </c>
      <c r="I128" s="28" t="inlineStr"/>
      <c r="J128" s="28" t="inlineStr"/>
      <c r="K128" s="31" t="n">
        <v>1350</v>
      </c>
      <c r="L128" s="28" t="n">
        <v>1000</v>
      </c>
      <c r="M128" s="31" t="n">
        <v>650</v>
      </c>
      <c r="N128" s="28" t="n">
        <v>4</v>
      </c>
      <c r="O128" s="28" t="n">
        <v>130</v>
      </c>
      <c r="P128" s="31" t="n">
        <v>1350</v>
      </c>
      <c r="Q128" s="28" t="n">
        <v>1000</v>
      </c>
      <c r="R128" s="31" t="n">
        <v>650</v>
      </c>
      <c r="S128" s="28" t="n">
        <v>4</v>
      </c>
      <c r="T128" s="28" t="n">
        <v>130</v>
      </c>
      <c r="U128" s="31" t="n">
        <v>1250</v>
      </c>
      <c r="V128" s="31">
        <f>R128*S128-P128</f>
        <v/>
      </c>
      <c r="W128" s="28" t="n">
        <v>1.25</v>
      </c>
      <c r="X128" s="28">
        <f>ROUND(V128/MAX(Q128,1),2)</f>
        <v/>
      </c>
      <c r="Y128" s="28" t="n">
        <v>0.93</v>
      </c>
      <c r="Z128" s="28">
        <f>IF(P128&gt;0,ROUND(V128/P128,2),"")</f>
        <v/>
      </c>
      <c r="AA128" s="28" t="n">
        <v>0.13</v>
      </c>
      <c r="AB128" s="28">
        <f>ROUND(T128/MAX(Q128,1),3)</f>
        <v/>
      </c>
      <c r="AC128" s="32" t="inlineStr">
        <is>
          <t>—</t>
        </is>
      </c>
      <c r="AD128" s="32" t="inlineStr">
        <is>
          <t>Treated like Sluggish Eclair, the middle of the 5 most similar EN dishes: you changed it servings +2% (profit ×1.04)</t>
        </is>
      </c>
      <c r="AE128" s="32" t="inlineStr">
        <is>
          <t>Sluggish Eclair (EN Lv64: servings +2%)</t>
        </is>
      </c>
      <c r="AF128" s="32" t="inlineStr">
        <is>
          <t>Leperoni Pizza, Spoiled Sea Food Pizza, Sluggish Eclair, Vegan Pizza, Meatish Sweetballs</t>
        </is>
      </c>
      <c r="AG128" s="32" t="inlineStr"/>
      <c r="AH128" s="28" t="inlineStr">
        <is>
          <t>$835 · 360m · 580×$3 · 80xp</t>
        </is>
      </c>
      <c r="AI128" s="28" t="inlineStr">
        <is>
          <t>$290 · 360m · 580×$3 · 80xp</t>
        </is>
      </c>
      <c r="AJ128" s="28" t="inlineStr">
        <is>
          <t>2.51 → 4.03</t>
        </is>
      </c>
      <c r="AK128" s="28" t="inlineStr">
        <is>
          <t>ラパンのクビ狩り焼き</t>
        </is>
      </c>
    </row>
    <row r="129">
      <c r="A129" s="28" t="n">
        <v>126</v>
      </c>
      <c r="B129" s="28" t="inlineStr">
        <is>
          <t>Eye Pop Candy</t>
        </is>
      </c>
      <c r="C129" s="28" t="n">
        <v>52</v>
      </c>
      <c r="D129" s="28" t="inlineStr">
        <is>
          <t>Level track</t>
        </is>
      </c>
      <c r="E129" s="28" t="inlineStr">
        <is>
          <t>Eye Pop Candy</t>
        </is>
      </c>
      <c r="F129" s="28" t="inlineStr">
        <is>
          <t>No</t>
        </is>
      </c>
      <c r="G129" s="35" t="inlineStr">
        <is>
          <t>EN pattern: hold</t>
        </is>
      </c>
      <c r="H129" s="30">
        <f>IF(W129&gt;0,X129/W129-1,"")</f>
        <v/>
      </c>
      <c r="I129" s="28" t="inlineStr"/>
      <c r="J129" s="28" t="inlineStr"/>
      <c r="K129" s="31" t="n">
        <v>285</v>
      </c>
      <c r="L129" s="28" t="n">
        <v>15</v>
      </c>
      <c r="M129" s="31" t="n">
        <v>150</v>
      </c>
      <c r="N129" s="28" t="n">
        <v>6</v>
      </c>
      <c r="O129" s="28" t="n">
        <v>20</v>
      </c>
      <c r="P129" s="31" t="n">
        <v>285</v>
      </c>
      <c r="Q129" s="28" t="n">
        <v>15</v>
      </c>
      <c r="R129" s="31" t="n">
        <v>150</v>
      </c>
      <c r="S129" s="28" t="n">
        <v>6</v>
      </c>
      <c r="T129" s="28" t="n">
        <v>20</v>
      </c>
      <c r="U129" s="31" t="n">
        <v>615</v>
      </c>
      <c r="V129" s="31">
        <f>R129*S129-P129</f>
        <v/>
      </c>
      <c r="W129" s="28" t="n">
        <v>41</v>
      </c>
      <c r="X129" s="28">
        <f>ROUND(V129/MAX(Q129,1),2)</f>
        <v/>
      </c>
      <c r="Y129" s="28" t="n">
        <v>2.16</v>
      </c>
      <c r="Z129" s="28">
        <f>IF(P129&gt;0,ROUND(V129/P129,2),"")</f>
        <v/>
      </c>
      <c r="AA129" s="28" t="n">
        <v>1.333</v>
      </c>
      <c r="AB129" s="28">
        <f>ROUND(T129/MAX(Q129,1),3)</f>
        <v/>
      </c>
      <c r="AC129" s="32" t="inlineStr">
        <is>
          <t>—</t>
        </is>
      </c>
      <c r="AD129" s="32" t="inlineStr">
        <is>
          <t>Treated like Mice Pudding, the middle of the 5 most similar EN dishes: you left it unchanged</t>
        </is>
      </c>
      <c r="AE129" s="32" t="inlineStr">
        <is>
          <t>Mice Pudding (EN Lv25: unchanged)</t>
        </is>
      </c>
      <c r="AF129" s="32" t="inlineStr">
        <is>
          <t>Stewed Ox Cheek, Boiled Mystery Meat, Tainted Sparkling Water, Mice Pudding, Lady Fingers</t>
        </is>
      </c>
      <c r="AG129" s="32" t="inlineStr">
        <is>
          <t>Quick-cash dish already (41.0 $/min)</t>
        </is>
      </c>
      <c r="AH129" s="28" t="inlineStr">
        <is>
          <t>$600 · 180m · 1215×$1 · 100xp</t>
        </is>
      </c>
      <c r="AI129" s="28" t="inlineStr">
        <is>
          <t>$200 · 180m · 1215×$1 · 100xp</t>
        </is>
      </c>
      <c r="AJ129" s="28" t="inlineStr">
        <is>
          <t>3.42 → 5.64</t>
        </is>
      </c>
      <c r="AK129" s="28" t="inlineStr">
        <is>
          <t>スパークリング汚染水</t>
        </is>
      </c>
    </row>
    <row r="130">
      <c r="A130" s="28" t="n">
        <v>127</v>
      </c>
      <c r="B130" s="28" t="inlineStr">
        <is>
          <t>Fish Bones &amp; Gold Chips</t>
        </is>
      </c>
      <c r="C130" s="28" t="n">
        <v>53</v>
      </c>
      <c r="D130" s="28" t="inlineStr">
        <is>
          <t>Level track</t>
        </is>
      </c>
      <c r="E130" s="28" t="inlineStr">
        <is>
          <t>Fish Bones &amp; Gold Chips</t>
        </is>
      </c>
      <c r="F130" s="28" t="inlineStr">
        <is>
          <t>No</t>
        </is>
      </c>
      <c r="G130" s="34" t="inlineStr">
        <is>
          <t>EN pattern: buff</t>
        </is>
      </c>
      <c r="H130" s="30">
        <f>IF(W130&gt;0,X130/W130-1,"")</f>
        <v/>
      </c>
      <c r="I130" s="28" t="inlineStr"/>
      <c r="J130" s="28" t="inlineStr"/>
      <c r="K130" s="31" t="n">
        <v>1050</v>
      </c>
      <c r="L130" s="28" t="n">
        <v>120</v>
      </c>
      <c r="M130" s="31" t="n">
        <v>150</v>
      </c>
      <c r="N130" s="28" t="n">
        <v>8</v>
      </c>
      <c r="O130" s="28" t="n">
        <v>50</v>
      </c>
      <c r="P130" s="31" t="n">
        <v>1050</v>
      </c>
      <c r="Q130" s="28" t="n">
        <v>120</v>
      </c>
      <c r="R130" s="31" t="n">
        <v>150</v>
      </c>
      <c r="S130" s="28" t="n">
        <v>11</v>
      </c>
      <c r="T130" s="28" t="n">
        <v>50</v>
      </c>
      <c r="U130" s="31" t="n">
        <v>150</v>
      </c>
      <c r="V130" s="31">
        <f>R130*S130-P130</f>
        <v/>
      </c>
      <c r="W130" s="28" t="n">
        <v>1.25</v>
      </c>
      <c r="X130" s="28">
        <f>ROUND(V130/MAX(Q130,1),2)</f>
        <v/>
      </c>
      <c r="Y130" s="28" t="n">
        <v>0.14</v>
      </c>
      <c r="Z130" s="28">
        <f>IF(P130&gt;0,ROUND(V130/P130,2),"")</f>
        <v/>
      </c>
      <c r="AA130" s="28" t="n">
        <v>0.417</v>
      </c>
      <c r="AB130" s="28">
        <f>ROUND(T130/MAX(Q130,1),3)</f>
        <v/>
      </c>
      <c r="AC130" s="32" t="inlineStr">
        <is>
          <t>$/serving 8-&gt;11 (+38%)</t>
        </is>
      </c>
      <c r="AD130" s="32" t="inlineStr">
        <is>
          <t>Treated like Toxic Trifle, the middle of the 5 most similar EN dishes: you changed it $/serving 8-&gt;11 (profit ×4.00)</t>
        </is>
      </c>
      <c r="AE130" s="32" t="inlineStr">
        <is>
          <t>Toxic Trifle (EN Lv21: $/serving 8-&gt;11)</t>
        </is>
      </c>
      <c r="AF130" s="32" t="inlineStr">
        <is>
          <t>Toxic Trifle, Stake Tar-Tar, Net Prawn, Cuss-Turd Tart, Dracooler</t>
        </is>
      </c>
      <c r="AG130" s="32" t="inlineStr">
        <is>
          <t>Loose match: no EN dish is very close; $/serving raised (also changes tips)</t>
        </is>
      </c>
      <c r="AH130" s="28" t="inlineStr">
        <is>
          <t>$925 · 315m · 505×$4 · 80xp</t>
        </is>
      </c>
      <c r="AI130" s="28" t="inlineStr">
        <is>
          <t>$925 · 315m · 505×$4 · 80xp</t>
        </is>
      </c>
      <c r="AJ130" s="28" t="inlineStr">
        <is>
          <t>3.48 → 3.48</t>
        </is>
      </c>
      <c r="AK130" s="28" t="inlineStr">
        <is>
          <t>汚染アラモード</t>
        </is>
      </c>
    </row>
    <row r="131">
      <c r="A131" s="28" t="n">
        <v>128</v>
      </c>
      <c r="B131" s="28" t="inlineStr">
        <is>
          <t>Chili Chili Bang Bang</t>
        </is>
      </c>
      <c r="C131" s="28" t="n">
        <v>54</v>
      </c>
      <c r="D131" s="28" t="inlineStr">
        <is>
          <t>Level track</t>
        </is>
      </c>
      <c r="E131" s="28" t="inlineStr">
        <is>
          <t>Chili Chili Bang Bang</t>
        </is>
      </c>
      <c r="F131" s="28" t="inlineStr">
        <is>
          <t>No</t>
        </is>
      </c>
      <c r="G131" s="35" t="inlineStr">
        <is>
          <t>EN pattern: hold</t>
        </is>
      </c>
      <c r="H131" s="30">
        <f>IF(W131&gt;0,X131/W131-1,"")</f>
        <v/>
      </c>
      <c r="I131" s="28" t="inlineStr"/>
      <c r="J131" s="28" t="inlineStr"/>
      <c r="K131" s="31" t="n">
        <v>265</v>
      </c>
      <c r="L131" s="28" t="n">
        <v>18</v>
      </c>
      <c r="M131" s="31" t="n">
        <v>180</v>
      </c>
      <c r="N131" s="28" t="n">
        <v>6</v>
      </c>
      <c r="O131" s="28" t="n">
        <v>66</v>
      </c>
      <c r="P131" s="31" t="n">
        <v>265</v>
      </c>
      <c r="Q131" s="28" t="n">
        <v>18</v>
      </c>
      <c r="R131" s="31" t="n">
        <v>180</v>
      </c>
      <c r="S131" s="28" t="n">
        <v>6</v>
      </c>
      <c r="T131" s="28" t="n">
        <v>66</v>
      </c>
      <c r="U131" s="31" t="n">
        <v>815</v>
      </c>
      <c r="V131" s="31">
        <f>R131*S131-P131</f>
        <v/>
      </c>
      <c r="W131" s="28" t="n">
        <v>45.28</v>
      </c>
      <c r="X131" s="28">
        <f>ROUND(V131/MAX(Q131,1),2)</f>
        <v/>
      </c>
      <c r="Y131" s="28" t="n">
        <v>3.08</v>
      </c>
      <c r="Z131" s="28">
        <f>IF(P131&gt;0,ROUND(V131/P131,2),"")</f>
        <v/>
      </c>
      <c r="AA131" s="28" t="n">
        <v>3.667</v>
      </c>
      <c r="AB131" s="28">
        <f>ROUND(T131/MAX(Q131,1),3)</f>
        <v/>
      </c>
      <c r="AC131" s="32" t="inlineStr">
        <is>
          <t>—</t>
        </is>
      </c>
      <c r="AD131" s="32" t="inlineStr">
        <is>
          <t>Treated like Mice Pudding, the middle of the 5 most similar EN dishes: you left it unchanged</t>
        </is>
      </c>
      <c r="AE131" s="32" t="inlineStr">
        <is>
          <t>Mice Pudding (EN Lv25: unchanged)</t>
        </is>
      </c>
      <c r="AF131" s="32" t="inlineStr">
        <is>
          <t>Stewed Ox Cheek, Boiled Mystery Meat, Mice Pudding, Tainted Sparkling Water, Lady Fingers</t>
        </is>
      </c>
      <c r="AG131" s="32" t="inlineStr">
        <is>
          <t>Quick-cash dish already (45.3 $/min); XP outlier (3.7 XP/min)</t>
        </is>
      </c>
      <c r="AH131" s="28" t="inlineStr">
        <is>
          <t>$1,425 · 440m · 610×$5 · 95xp</t>
        </is>
      </c>
      <c r="AI131" s="28" t="inlineStr">
        <is>
          <t>$1,425 · 440m · 610×$5 · 95xp</t>
        </is>
      </c>
      <c r="AJ131" s="28" t="inlineStr">
        <is>
          <t>3.69 → 3.69</t>
        </is>
      </c>
      <c r="AK131" s="28" t="inlineStr">
        <is>
          <t>恨みのツラミ</t>
        </is>
      </c>
    </row>
    <row r="132">
      <c r="A132" s="28" t="n">
        <v>129</v>
      </c>
      <c r="B132" s="28" t="inlineStr">
        <is>
          <t>Fireball Spaghetti</t>
        </is>
      </c>
      <c r="C132" s="28" t="n">
        <v>55</v>
      </c>
      <c r="D132" s="28" t="inlineStr">
        <is>
          <t>Level track</t>
        </is>
      </c>
      <c r="E132" s="28" t="inlineStr">
        <is>
          <t>Fireball Spaghetti</t>
        </is>
      </c>
      <c r="F132" s="28" t="inlineStr">
        <is>
          <t>No</t>
        </is>
      </c>
      <c r="G132" s="34" t="inlineStr">
        <is>
          <t>EN pattern: buff</t>
        </is>
      </c>
      <c r="H132" s="30">
        <f>IF(W132&gt;0,X132/W132-1,"")</f>
        <v/>
      </c>
      <c r="I132" s="28" t="inlineStr"/>
      <c r="J132" s="28" t="inlineStr"/>
      <c r="K132" s="31" t="n">
        <v>650</v>
      </c>
      <c r="L132" s="28" t="n">
        <v>710</v>
      </c>
      <c r="M132" s="31" t="n">
        <v>576</v>
      </c>
      <c r="N132" s="28" t="n">
        <v>3</v>
      </c>
      <c r="O132" s="28" t="n">
        <v>40</v>
      </c>
      <c r="P132" s="31" t="n">
        <v>470</v>
      </c>
      <c r="Q132" s="28" t="n">
        <v>710</v>
      </c>
      <c r="R132" s="31" t="n">
        <v>576</v>
      </c>
      <c r="S132" s="28" t="n">
        <v>3</v>
      </c>
      <c r="T132" s="28" t="n">
        <v>40</v>
      </c>
      <c r="U132" s="31" t="n">
        <v>1078</v>
      </c>
      <c r="V132" s="31">
        <f>R132*S132-P132</f>
        <v/>
      </c>
      <c r="W132" s="28" t="n">
        <v>1.52</v>
      </c>
      <c r="X132" s="28">
        <f>ROUND(V132/MAX(Q132,1),2)</f>
        <v/>
      </c>
      <c r="Y132" s="28" t="n">
        <v>1.66</v>
      </c>
      <c r="Z132" s="28">
        <f>IF(P132&gt;0,ROUND(V132/P132,2),"")</f>
        <v/>
      </c>
      <c r="AA132" s="28" t="n">
        <v>0.056</v>
      </c>
      <c r="AB132" s="28">
        <f>ROUND(T132/MAX(Q132,1),3)</f>
        <v/>
      </c>
      <c r="AC132" s="32" t="inlineStr">
        <is>
          <t>Cost 650-&gt;470 (-28%)</t>
        </is>
      </c>
      <c r="AD132" s="32" t="inlineStr">
        <is>
          <t>Treated like Meatish Sweetballs, the middle of the 5 most similar EN dishes: you changed it cost -27% (profit ×1.26)</t>
        </is>
      </c>
      <c r="AE132" s="32" t="inlineStr">
        <is>
          <t>Meatish Sweetballs (EN Lv61: cost -27%)</t>
        </is>
      </c>
      <c r="AF132" s="32" t="inlineStr">
        <is>
          <t>Torn Tripe, Peanut Butter &amp; Jelly Pizza, Meatish Sweetballs, Leperoni Pizza, Spoiled Sea Food Pizza</t>
        </is>
      </c>
      <c r="AG132" s="32" t="inlineStr"/>
      <c r="AH132" s="28" t="inlineStr">
        <is>
          <t>$250 · 100m · 265×$2 · 44xp</t>
        </is>
      </c>
      <c r="AI132" s="28" t="inlineStr">
        <is>
          <t>$300 · 90m · 145×$6 · 40xp</t>
        </is>
      </c>
      <c r="AJ132" s="28" t="inlineStr">
        <is>
          <t>2.80 → 6.33</t>
        </is>
      </c>
      <c r="AK132" s="28" t="inlineStr">
        <is>
          <t>恨ミノサンド</t>
        </is>
      </c>
    </row>
    <row r="133">
      <c r="A133" s="28" t="n">
        <v>130</v>
      </c>
      <c r="B133" s="28" t="inlineStr">
        <is>
          <t>Zap Bar</t>
        </is>
      </c>
      <c r="C133" s="28" t="n">
        <v>56</v>
      </c>
      <c r="D133" s="28" t="inlineStr">
        <is>
          <t>Level track</t>
        </is>
      </c>
      <c r="E133" s="28" t="inlineStr">
        <is>
          <t>Zap Bar</t>
        </is>
      </c>
      <c r="F133" s="28" t="inlineStr">
        <is>
          <t>No</t>
        </is>
      </c>
      <c r="G133" s="34" t="inlineStr">
        <is>
          <t>EN pattern: buff</t>
        </is>
      </c>
      <c r="H133" s="30">
        <f>IF(W133&gt;0,X133/W133-1,"")</f>
        <v/>
      </c>
      <c r="I133" s="28" t="inlineStr"/>
      <c r="J133" s="28" t="inlineStr"/>
      <c r="K133" s="31" t="n">
        <v>2010</v>
      </c>
      <c r="L133" s="28" t="n">
        <v>935</v>
      </c>
      <c r="M133" s="31" t="n">
        <v>670</v>
      </c>
      <c r="N133" s="28" t="n">
        <v>6</v>
      </c>
      <c r="O133" s="28" t="n">
        <v>85</v>
      </c>
      <c r="P133" s="31" t="n">
        <v>2010</v>
      </c>
      <c r="Q133" s="28" t="n">
        <v>935</v>
      </c>
      <c r="R133" s="31" t="n">
        <v>700</v>
      </c>
      <c r="S133" s="28" t="n">
        <v>6</v>
      </c>
      <c r="T133" s="28" t="n">
        <v>85</v>
      </c>
      <c r="U133" s="31" t="n">
        <v>2010</v>
      </c>
      <c r="V133" s="31">
        <f>R133*S133-P133</f>
        <v/>
      </c>
      <c r="W133" s="28" t="n">
        <v>2.15</v>
      </c>
      <c r="X133" s="28">
        <f>ROUND(V133/MAX(Q133,1),2)</f>
        <v/>
      </c>
      <c r="Y133" s="28" t="n">
        <v>1</v>
      </c>
      <c r="Z133" s="28">
        <f>IF(P133&gt;0,ROUND(V133/P133,2),"")</f>
        <v/>
      </c>
      <c r="AA133" s="28" t="n">
        <v>0.091</v>
      </c>
      <c r="AB133" s="28">
        <f>ROUND(T133/MAX(Q133,1),3)</f>
        <v/>
      </c>
      <c r="AC133" s="32" t="inlineStr">
        <is>
          <t>Servings 670-&gt;700 (+4%)</t>
        </is>
      </c>
      <c r="AD133" s="32" t="inlineStr">
        <is>
          <t>Treated like Broxy, the middle of the 5 most similar EN dishes: you changed it servings +4% (profit ×1.09)</t>
        </is>
      </c>
      <c r="AE133" s="32" t="inlineStr">
        <is>
          <t>Broxy (EN Lv50: servings +4%)</t>
        </is>
      </c>
      <c r="AF133" s="32" t="inlineStr">
        <is>
          <t>Broxy, Riga Tony, Verminestroni, Hash Clown, Fetid Djinni</t>
        </is>
      </c>
      <c r="AG133" s="32" t="inlineStr"/>
      <c r="AH133" s="28" t="inlineStr">
        <is>
          <t>$150 · 60m · 200×$2 · 32xp</t>
        </is>
      </c>
      <c r="AI133" s="28" t="inlineStr">
        <is>
          <t>$200 · 30m · 95×$5 · 16xp</t>
        </is>
      </c>
      <c r="AJ133" s="28" t="inlineStr">
        <is>
          <t>4.17 → 9.17</t>
        </is>
      </c>
      <c r="AK133" s="28" t="inlineStr">
        <is>
          <t>汚水牛のもも肉</t>
        </is>
      </c>
    </row>
    <row r="134">
      <c r="A134" s="28" t="n">
        <v>131</v>
      </c>
      <c r="B134" s="28" t="inlineStr">
        <is>
          <t>Super Fruit Punch</t>
        </is>
      </c>
      <c r="C134" s="28" t="n">
        <v>3</v>
      </c>
      <c r="D134" s="28" t="inlineStr">
        <is>
          <t>Event recipe</t>
        </is>
      </c>
      <c r="E134" s="28" t="inlineStr">
        <is>
          <t>Super Fruit Punch</t>
        </is>
      </c>
      <c r="F134" s="28" t="inlineStr">
        <is>
          <t>No</t>
        </is>
      </c>
      <c r="G134" s="35" t="inlineStr">
        <is>
          <t>EN pattern: hold</t>
        </is>
      </c>
      <c r="H134" s="30">
        <f>IF(W134&gt;0,X134/W134-1,"")</f>
        <v/>
      </c>
      <c r="I134" s="28" t="inlineStr"/>
      <c r="J134" s="28" t="inlineStr"/>
      <c r="K134" s="31" t="n">
        <v>1224</v>
      </c>
      <c r="L134" s="28" t="n">
        <v>160</v>
      </c>
      <c r="M134" s="31" t="n">
        <v>360</v>
      </c>
      <c r="N134" s="28" t="n">
        <v>6</v>
      </c>
      <c r="O134" s="28" t="n">
        <v>70</v>
      </c>
      <c r="P134" s="31" t="n">
        <v>1224</v>
      </c>
      <c r="Q134" s="28" t="n">
        <v>160</v>
      </c>
      <c r="R134" s="31" t="n">
        <v>360</v>
      </c>
      <c r="S134" s="28" t="n">
        <v>6</v>
      </c>
      <c r="T134" s="28" t="n">
        <v>70</v>
      </c>
      <c r="U134" s="31" t="n">
        <v>936</v>
      </c>
      <c r="V134" s="31">
        <f>R134*S134-P134</f>
        <v/>
      </c>
      <c r="W134" s="28" t="n">
        <v>5.85</v>
      </c>
      <c r="X134" s="28">
        <f>ROUND(V134/MAX(Q134,1),2)</f>
        <v/>
      </c>
      <c r="Y134" s="28" t="n">
        <v>0.76</v>
      </c>
      <c r="Z134" s="28">
        <f>IF(P134&gt;0,ROUND(V134/P134,2),"")</f>
        <v/>
      </c>
      <c r="AA134" s="28" t="n">
        <v>0.438</v>
      </c>
      <c r="AB134" s="28">
        <f>ROUND(T134/MAX(Q134,1),3)</f>
        <v/>
      </c>
      <c r="AC134" s="32" t="inlineStr">
        <is>
          <t>—</t>
        </is>
      </c>
      <c r="AD134" s="32" t="inlineStr">
        <is>
          <t>Treated like Chili Chili Bang Bang, the middle of the 5 most similar EN dishes: you left it unchanged</t>
        </is>
      </c>
      <c r="AE134" s="32" t="inlineStr">
        <is>
          <t>Chili Chili Bang Bang (EN Lv12: unchanged)</t>
        </is>
      </c>
      <c r="AF134" s="32" t="inlineStr">
        <is>
          <t>Fish Bones &amp; Gold Chips, Putrefied Clam Chowder, Chili Chili Bang Bang, Leech Melba, Spiderello</t>
        </is>
      </c>
      <c r="AG134" s="32" t="inlineStr">
        <is>
          <t>Loose match: no EN dish is very close; Quick-cash dish already (5.8 $/min); Event dish: offline unlock undecided (START_HERE §8)</t>
        </is>
      </c>
      <c r="AH134" s="28" t="inlineStr">
        <is>
          <t>$405 · 15m · 295×$3 · 12xp</t>
        </is>
      </c>
      <c r="AI134" s="28" t="inlineStr">
        <is>
          <t>$400 · 15m · 295×$3 · 12xp</t>
        </is>
      </c>
      <c r="AJ134" s="28" t="inlineStr">
        <is>
          <t>32.00 → 32.33</t>
        </is>
      </c>
      <c r="AK134" s="28" t="inlineStr">
        <is>
          <t>生臭いサンタのケーキ</t>
        </is>
      </c>
    </row>
    <row r="135">
      <c r="A135" s="28" t="n">
        <v>132</v>
      </c>
      <c r="B135" s="28" t="inlineStr">
        <is>
          <t>Orion Soup</t>
        </is>
      </c>
      <c r="C135" s="28" t="n">
        <v>3</v>
      </c>
      <c r="D135" s="28" t="inlineStr">
        <is>
          <t>Event recipe</t>
        </is>
      </c>
      <c r="E135" s="28" t="inlineStr">
        <is>
          <t>Orion Soup</t>
        </is>
      </c>
      <c r="F135" s="28" t="inlineStr">
        <is>
          <t>No</t>
        </is>
      </c>
      <c r="G135" s="35" t="inlineStr">
        <is>
          <t>EN pattern: hold</t>
        </is>
      </c>
      <c r="H135" s="30">
        <f>IF(W135&gt;0,X135/W135-1,"")</f>
        <v/>
      </c>
      <c r="I135" s="28" t="inlineStr"/>
      <c r="J135" s="28" t="inlineStr"/>
      <c r="K135" s="31" t="n">
        <v>2013</v>
      </c>
      <c r="L135" s="28" t="n">
        <v>4320</v>
      </c>
      <c r="M135" s="31" t="n">
        <v>1000</v>
      </c>
      <c r="N135" s="28" t="n">
        <v>7</v>
      </c>
      <c r="O135" s="28" t="n">
        <v>300</v>
      </c>
      <c r="P135" s="31" t="n">
        <v>2013</v>
      </c>
      <c r="Q135" s="28" t="n">
        <v>4320</v>
      </c>
      <c r="R135" s="31" t="n">
        <v>1000</v>
      </c>
      <c r="S135" s="28" t="n">
        <v>7</v>
      </c>
      <c r="T135" s="28" t="n">
        <v>300</v>
      </c>
      <c r="U135" s="31" t="n">
        <v>4987</v>
      </c>
      <c r="V135" s="31">
        <f>R135*S135-P135</f>
        <v/>
      </c>
      <c r="W135" s="28" t="n">
        <v>1.15</v>
      </c>
      <c r="X135" s="28">
        <f>ROUND(V135/MAX(Q135,1),2)</f>
        <v/>
      </c>
      <c r="Y135" s="28" t="n">
        <v>2.48</v>
      </c>
      <c r="Z135" s="28">
        <f>IF(P135&gt;0,ROUND(V135/P135,2),"")</f>
        <v/>
      </c>
      <c r="AA135" s="28" t="n">
        <v>0.06900000000000001</v>
      </c>
      <c r="AB135" s="28">
        <f>ROUND(T135/MAX(Q135,1),3)</f>
        <v/>
      </c>
      <c r="AC135" s="32" t="inlineStr">
        <is>
          <t>—</t>
        </is>
      </c>
      <c r="AD135" s="32" t="inlineStr">
        <is>
          <t>Treated like Shamrock Shake, the middle of the 5 most similar EN dishes: you left it unchanged</t>
        </is>
      </c>
      <c r="AE135" s="32" t="inlineStr">
        <is>
          <t>Shamrock Shake (EN Lv11: unchanged)</t>
        </is>
      </c>
      <c r="AF135" s="32" t="inlineStr">
        <is>
          <t>Tumor Melts, Fetidccine, Shamrock Shake, Puking Duck, Nuke Fondue</t>
        </is>
      </c>
      <c r="AG135" s="32" t="inlineStr">
        <is>
          <t>Loose match: no EN dish is very close; Event dish: offline unlock undecided (START_HERE §8)</t>
        </is>
      </c>
      <c r="AH135" s="28" t="inlineStr">
        <is>
          <t>$400 · 200m · 285×$3 · 68xp</t>
        </is>
      </c>
      <c r="AI135" s="28" t="inlineStr">
        <is>
          <t>$400 · 120m · 165×$6 · 41xp</t>
        </is>
      </c>
      <c r="AJ135" s="28" t="inlineStr">
        <is>
          <t>2.27 → 4.92</t>
        </is>
      </c>
      <c r="AK135" s="28" t="inlineStr">
        <is>
          <t>目で鯛</t>
        </is>
      </c>
    </row>
    <row r="136">
      <c r="A136" s="28" t="n">
        <v>133</v>
      </c>
      <c r="B136" s="28" t="inlineStr">
        <is>
          <t>Green Belt Peppers</t>
        </is>
      </c>
      <c r="C136" s="28" t="n">
        <v>3</v>
      </c>
      <c r="D136" s="28" t="inlineStr">
        <is>
          <t>Event recipe</t>
        </is>
      </c>
      <c r="E136" s="28" t="inlineStr">
        <is>
          <t>Green Belt Peppers</t>
        </is>
      </c>
      <c r="F136" s="28" t="inlineStr">
        <is>
          <t>No</t>
        </is>
      </c>
      <c r="G136" s="35" t="inlineStr">
        <is>
          <t>EN pattern: hold</t>
        </is>
      </c>
      <c r="H136" s="30">
        <f>IF(W136&gt;0,X136/W136-1,"")</f>
        <v/>
      </c>
      <c r="I136" s="28" t="inlineStr"/>
      <c r="J136" s="28" t="inlineStr"/>
      <c r="K136" s="31" t="n">
        <v>214</v>
      </c>
      <c r="L136" s="28" t="n">
        <v>60</v>
      </c>
      <c r="M136" s="31" t="n">
        <v>50</v>
      </c>
      <c r="N136" s="28" t="n">
        <v>6</v>
      </c>
      <c r="O136" s="28" t="n">
        <v>14</v>
      </c>
      <c r="P136" s="31" t="n">
        <v>214</v>
      </c>
      <c r="Q136" s="28" t="n">
        <v>60</v>
      </c>
      <c r="R136" s="31" t="n">
        <v>50</v>
      </c>
      <c r="S136" s="28" t="n">
        <v>6</v>
      </c>
      <c r="T136" s="28" t="n">
        <v>14</v>
      </c>
      <c r="U136" s="31" t="n">
        <v>86</v>
      </c>
      <c r="V136" s="31">
        <f>R136*S136-P136</f>
        <v/>
      </c>
      <c r="W136" s="28" t="n">
        <v>1.43</v>
      </c>
      <c r="X136" s="28">
        <f>ROUND(V136/MAX(Q136,1),2)</f>
        <v/>
      </c>
      <c r="Y136" s="28" t="n">
        <v>0.4</v>
      </c>
      <c r="Z136" s="28">
        <f>IF(P136&gt;0,ROUND(V136/P136,2),"")</f>
        <v/>
      </c>
      <c r="AA136" s="28" t="n">
        <v>0.233</v>
      </c>
      <c r="AB136" s="28">
        <f>ROUND(T136/MAX(Q136,1),3)</f>
        <v/>
      </c>
      <c r="AC136" s="32" t="inlineStr">
        <is>
          <t>—</t>
        </is>
      </c>
      <c r="AD136" s="32" t="inlineStr">
        <is>
          <t>Treated like Hag-Gus, the middle of the 5 most similar EN dishes: you left it unchanged</t>
        </is>
      </c>
      <c r="AE136" s="32" t="inlineStr">
        <is>
          <t>Hag-Gus (EN Lv15: unchanged)</t>
        </is>
      </c>
      <c r="AF136" s="32" t="inlineStr">
        <is>
          <t>Tiramiseeeww, Toe Jam Sandwiches, Hag-Gus, Meat Lover Pizza, Green Eggs &amp; Sam</t>
        </is>
      </c>
      <c r="AG136" s="32" t="inlineStr">
        <is>
          <t>Event dish: offline unlock undecided (START_HERE §8)</t>
        </is>
      </c>
      <c r="AH136" s="28" t="inlineStr">
        <is>
          <t>$430 · 245m · 235×$4 · 75xp</t>
        </is>
      </c>
      <c r="AI136" s="28" t="inlineStr">
        <is>
          <t>$250 · 60m · 65×$12 · 18xp</t>
        </is>
      </c>
      <c r="AJ136" s="28" t="inlineStr">
        <is>
          <t>2.08 → 8.83</t>
        </is>
      </c>
      <c r="AK136" s="28" t="inlineStr">
        <is>
          <t>臓物風チョコ</t>
        </is>
      </c>
    </row>
    <row r="137">
      <c r="A137" s="28" t="n">
        <v>134</v>
      </c>
      <c r="B137" s="28" t="inlineStr">
        <is>
          <t>Reactor Burger</t>
        </is>
      </c>
      <c r="C137" s="28" t="n">
        <v>3</v>
      </c>
      <c r="D137" s="28" t="inlineStr">
        <is>
          <t>Event recipe</t>
        </is>
      </c>
      <c r="E137" s="28" t="inlineStr">
        <is>
          <t>Reactor Burger</t>
        </is>
      </c>
      <c r="F137" s="28" t="inlineStr">
        <is>
          <t>No</t>
        </is>
      </c>
      <c r="G137" s="35" t="inlineStr">
        <is>
          <t>EN pattern: hold</t>
        </is>
      </c>
      <c r="H137" s="30">
        <f>IF(W137&gt;0,X137/W137-1,"")</f>
        <v/>
      </c>
      <c r="I137" s="28" t="inlineStr"/>
      <c r="J137" s="28" t="inlineStr"/>
      <c r="K137" s="31" t="n">
        <v>314</v>
      </c>
      <c r="L137" s="28" t="n">
        <v>60</v>
      </c>
      <c r="M137" s="31" t="n">
        <v>60</v>
      </c>
      <c r="N137" s="28" t="n">
        <v>7</v>
      </c>
      <c r="O137" s="28" t="n">
        <v>14</v>
      </c>
      <c r="P137" s="31" t="n">
        <v>314</v>
      </c>
      <c r="Q137" s="28" t="n">
        <v>60</v>
      </c>
      <c r="R137" s="31" t="n">
        <v>60</v>
      </c>
      <c r="S137" s="28" t="n">
        <v>7</v>
      </c>
      <c r="T137" s="28" t="n">
        <v>14</v>
      </c>
      <c r="U137" s="31" t="n">
        <v>106</v>
      </c>
      <c r="V137" s="31">
        <f>R137*S137-P137</f>
        <v/>
      </c>
      <c r="W137" s="28" t="n">
        <v>1.77</v>
      </c>
      <c r="X137" s="28">
        <f>ROUND(V137/MAX(Q137,1),2)</f>
        <v/>
      </c>
      <c r="Y137" s="28" t="n">
        <v>0.34</v>
      </c>
      <c r="Z137" s="28">
        <f>IF(P137&gt;0,ROUND(V137/P137,2),"")</f>
        <v/>
      </c>
      <c r="AA137" s="28" t="n">
        <v>0.233</v>
      </c>
      <c r="AB137" s="28">
        <f>ROUND(T137/MAX(Q137,1),3)</f>
        <v/>
      </c>
      <c r="AC137" s="32" t="inlineStr">
        <is>
          <t>—</t>
        </is>
      </c>
      <c r="AD137" s="32" t="inlineStr">
        <is>
          <t>Treated like Tiramiseeeww, the middle of the 5 most similar EN dishes: you left it unchanged</t>
        </is>
      </c>
      <c r="AE137" s="32" t="inlineStr">
        <is>
          <t>Tiramiseeeww (EN Lv9: unchanged)</t>
        </is>
      </c>
      <c r="AF137" s="32" t="inlineStr">
        <is>
          <t>Brine Shrimp Cocktail, Meat Lover Pizza, Tiramiseeeww, Toe Jam Sandwiches, Ground Chuck</t>
        </is>
      </c>
      <c r="AG137" s="32" t="inlineStr">
        <is>
          <t>Event dish: offline unlock undecided (START_HERE §8)</t>
        </is>
      </c>
      <c r="AH137" s="28" t="inlineStr">
        <is>
          <t>$700 · 450m · 290×$4 · 80xp</t>
        </is>
      </c>
      <c r="AI137" s="28" t="inlineStr">
        <is>
          <t>$1,100 · 480m · 480×$7 · 85xp</t>
        </is>
      </c>
      <c r="AJ137" s="28" t="inlineStr">
        <is>
          <t>1.02 → 4.71</t>
        </is>
      </c>
      <c r="AK137" s="28" t="inlineStr">
        <is>
          <t>愛憎いっぱい裏義理キャンディ</t>
        </is>
      </c>
    </row>
    <row r="138">
      <c r="A138" s="28" t="n">
        <v>135</v>
      </c>
      <c r="B138" s="28" t="inlineStr">
        <is>
          <t>Tropical Coco Brain</t>
        </is>
      </c>
      <c r="C138" s="28" t="n">
        <v>3</v>
      </c>
      <c r="D138" s="28" t="inlineStr">
        <is>
          <t>Event recipe</t>
        </is>
      </c>
      <c r="E138" s="28" t="inlineStr">
        <is>
          <t>Tropical Coco Brain</t>
        </is>
      </c>
      <c r="F138" s="28" t="inlineStr">
        <is>
          <t>No</t>
        </is>
      </c>
      <c r="G138" s="35" t="inlineStr">
        <is>
          <t>EN pattern: hold</t>
        </is>
      </c>
      <c r="H138" s="30">
        <f>IF(W138&gt;0,X138/W138-1,"")</f>
        <v/>
      </c>
      <c r="I138" s="28" t="inlineStr"/>
      <c r="J138" s="28" t="inlineStr"/>
      <c r="K138" s="31" t="n">
        <v>1314</v>
      </c>
      <c r="L138" s="28" t="n">
        <v>300</v>
      </c>
      <c r="M138" s="31" t="n">
        <v>300</v>
      </c>
      <c r="N138" s="28" t="n">
        <v>7</v>
      </c>
      <c r="O138" s="28" t="n">
        <v>90</v>
      </c>
      <c r="P138" s="31" t="n">
        <v>1314</v>
      </c>
      <c r="Q138" s="28" t="n">
        <v>300</v>
      </c>
      <c r="R138" s="31" t="n">
        <v>300</v>
      </c>
      <c r="S138" s="28" t="n">
        <v>7</v>
      </c>
      <c r="T138" s="28" t="n">
        <v>90</v>
      </c>
      <c r="U138" s="31" t="n">
        <v>786</v>
      </c>
      <c r="V138" s="31">
        <f>R138*S138-P138</f>
        <v/>
      </c>
      <c r="W138" s="28" t="n">
        <v>2.62</v>
      </c>
      <c r="X138" s="28">
        <f>ROUND(V138/MAX(Q138,1),2)</f>
        <v/>
      </c>
      <c r="Y138" s="28" t="n">
        <v>0.6</v>
      </c>
      <c r="Z138" s="28">
        <f>IF(P138&gt;0,ROUND(V138/P138,2),"")</f>
        <v/>
      </c>
      <c r="AA138" s="28" t="n">
        <v>0.3</v>
      </c>
      <c r="AB138" s="28">
        <f>ROUND(T138/MAX(Q138,1),3)</f>
        <v/>
      </c>
      <c r="AC138" s="32" t="inlineStr">
        <is>
          <t>—</t>
        </is>
      </c>
      <c r="AD138" s="32" t="inlineStr">
        <is>
          <t>Treated like Blueberry Fangcake, the middle of the 5 most similar EN dishes: you left it unchanged</t>
        </is>
      </c>
      <c r="AE138" s="32" t="inlineStr">
        <is>
          <t>Blueberry Fangcake (EN Lv13: unchanged)</t>
        </is>
      </c>
      <c r="AF138" s="32" t="inlineStr">
        <is>
          <t>Chili Chili Bang Bang, Fish Bones &amp; Gold Chips, Net Prawn, Blueberry Fangcake, Spiderello</t>
        </is>
      </c>
      <c r="AG138" s="32" t="inlineStr">
        <is>
          <t>Event dish: offline unlock undecided (START_HERE §8)</t>
        </is>
      </c>
      <c r="AH138" s="28" t="inlineStr">
        <is>
          <t>$2,820 · 840m · 720×$7 · 205xp</t>
        </is>
      </c>
      <c r="AI138" s="28" t="inlineStr">
        <is>
          <t>$2,820 · 840m · 720×$7 · 205xp</t>
        </is>
      </c>
      <c r="AJ138" s="28" t="inlineStr">
        <is>
          <t>2.64 → 2.64</t>
        </is>
      </c>
      <c r="AK138" s="28" t="inlineStr">
        <is>
          <t>ホワイト戯腐兎</t>
        </is>
      </c>
    </row>
    <row r="139">
      <c r="A139" s="28" t="n">
        <v>136</v>
      </c>
      <c r="B139" s="28" t="inlineStr">
        <is>
          <t>Cali Snail Rolls</t>
        </is>
      </c>
      <c r="C139" s="28" t="n">
        <v>3</v>
      </c>
      <c r="D139" s="28" t="inlineStr">
        <is>
          <t>Event recipe</t>
        </is>
      </c>
      <c r="E139" s="28" t="inlineStr">
        <is>
          <t>Cali Snail Rolls</t>
        </is>
      </c>
      <c r="F139" s="28" t="inlineStr">
        <is>
          <t>No</t>
        </is>
      </c>
      <c r="G139" s="35" t="inlineStr">
        <is>
          <t>EN pattern: hold</t>
        </is>
      </c>
      <c r="H139" s="30">
        <f>IF(W139&gt;0,X139/W139-1,"")</f>
        <v/>
      </c>
      <c r="I139" s="28" t="inlineStr"/>
      <c r="J139" s="28" t="inlineStr"/>
      <c r="K139" s="31" t="n">
        <v>555</v>
      </c>
      <c r="L139" s="28" t="n">
        <v>120</v>
      </c>
      <c r="M139" s="31" t="n">
        <v>280</v>
      </c>
      <c r="N139" s="28" t="n">
        <v>3</v>
      </c>
      <c r="O139" s="28" t="n">
        <v>30</v>
      </c>
      <c r="P139" s="31" t="n">
        <v>555</v>
      </c>
      <c r="Q139" s="28" t="n">
        <v>120</v>
      </c>
      <c r="R139" s="31" t="n">
        <v>280</v>
      </c>
      <c r="S139" s="28" t="n">
        <v>3</v>
      </c>
      <c r="T139" s="28" t="n">
        <v>30</v>
      </c>
      <c r="U139" s="31" t="n">
        <v>285</v>
      </c>
      <c r="V139" s="31">
        <f>R139*S139-P139</f>
        <v/>
      </c>
      <c r="W139" s="28" t="n">
        <v>2.38</v>
      </c>
      <c r="X139" s="28">
        <f>ROUND(V139/MAX(Q139,1),2)</f>
        <v/>
      </c>
      <c r="Y139" s="28" t="n">
        <v>0.51</v>
      </c>
      <c r="Z139" s="28">
        <f>IF(P139&gt;0,ROUND(V139/P139,2),"")</f>
        <v/>
      </c>
      <c r="AA139" s="28" t="n">
        <v>0.25</v>
      </c>
      <c r="AB139" s="28">
        <f>ROUND(T139/MAX(Q139,1),3)</f>
        <v/>
      </c>
      <c r="AC139" s="32" t="inlineStr">
        <is>
          <t>—</t>
        </is>
      </c>
      <c r="AD139" s="32" t="inlineStr">
        <is>
          <t>Treated like Tiramiseeeww, the middle of the 5 most similar EN dishes: you left it unchanged</t>
        </is>
      </c>
      <c r="AE139" s="32" t="inlineStr">
        <is>
          <t>Tiramiseeeww (EN Lv9: unchanged)</t>
        </is>
      </c>
      <c r="AF139" s="32" t="inlineStr">
        <is>
          <t>Ground Chuck, Meat Lover Pizza, Tofu Brain, Army Rations, Tiramiseeeww</t>
        </is>
      </c>
      <c r="AG139" s="32" t="inlineStr">
        <is>
          <t>Event dish: offline unlock undecided (START_HERE §8)</t>
        </is>
      </c>
      <c r="AH139" s="28" t="inlineStr">
        <is>
          <t>$3,295 · 1200m · 820×$8 · 218xp</t>
        </is>
      </c>
      <c r="AI139" s="28" t="inlineStr">
        <is>
          <t>$3,200 · 1200m · 800×$14 · 218xp</t>
        </is>
      </c>
      <c r="AJ139" s="28" t="inlineStr">
        <is>
          <t>2.72 → 6.67</t>
        </is>
      </c>
      <c r="AK139" s="28" t="inlineStr">
        <is>
          <t>鯉臭ジュース</t>
        </is>
      </c>
    </row>
    <row r="140">
      <c r="A140" s="28" t="n">
        <v>137</v>
      </c>
      <c r="B140" s="28" t="inlineStr">
        <is>
          <t>Croccoli Soup</t>
        </is>
      </c>
      <c r="C140" s="28" t="n">
        <v>3</v>
      </c>
      <c r="D140" s="28" t="inlineStr">
        <is>
          <t>Event recipe</t>
        </is>
      </c>
      <c r="E140" s="28" t="inlineStr">
        <is>
          <t>Croccoli Soup</t>
        </is>
      </c>
      <c r="F140" s="28" t="inlineStr">
        <is>
          <t>No</t>
        </is>
      </c>
      <c r="G140" s="34" t="inlineStr">
        <is>
          <t>EN pattern: buff</t>
        </is>
      </c>
      <c r="H140" s="30">
        <f>IF(W140&gt;0,X140/W140-1,"")</f>
        <v/>
      </c>
      <c r="I140" s="28" t="inlineStr"/>
      <c r="J140" s="28" t="inlineStr"/>
      <c r="K140" s="31" t="n">
        <v>1555</v>
      </c>
      <c r="L140" s="28" t="n">
        <v>360</v>
      </c>
      <c r="M140" s="31" t="n">
        <v>320</v>
      </c>
      <c r="N140" s="28" t="n">
        <v>6</v>
      </c>
      <c r="O140" s="28" t="n">
        <v>70</v>
      </c>
      <c r="P140" s="31" t="n">
        <v>1555</v>
      </c>
      <c r="Q140" s="28" t="n">
        <v>360</v>
      </c>
      <c r="R140" s="31" t="n">
        <v>390</v>
      </c>
      <c r="S140" s="28" t="n">
        <v>6</v>
      </c>
      <c r="T140" s="28" t="n">
        <v>70</v>
      </c>
      <c r="U140" s="31" t="n">
        <v>365</v>
      </c>
      <c r="V140" s="31">
        <f>R140*S140-P140</f>
        <v/>
      </c>
      <c r="W140" s="28" t="n">
        <v>1.01</v>
      </c>
      <c r="X140" s="28">
        <f>ROUND(V140/MAX(Q140,1),2)</f>
        <v/>
      </c>
      <c r="Y140" s="28" t="n">
        <v>0.23</v>
      </c>
      <c r="Z140" s="28">
        <f>IF(P140&gt;0,ROUND(V140/P140,2),"")</f>
        <v/>
      </c>
      <c r="AA140" s="28" t="n">
        <v>0.194</v>
      </c>
      <c r="AB140" s="28">
        <f>ROUND(T140/MAX(Q140,1),3)</f>
        <v/>
      </c>
      <c r="AC140" s="32" t="inlineStr">
        <is>
          <t>Servings 320-&gt;390 (+22%)</t>
        </is>
      </c>
      <c r="AD140" s="32" t="inlineStr">
        <is>
          <t>Treated like Fish Fingers, the middle of the 5 most similar EN dishes: you changed it cost -20%, servings +6% (profit ×2.12)</t>
        </is>
      </c>
      <c r="AE140" s="32" t="inlineStr">
        <is>
          <t>Fish Fingers (EN Lv27: cost -20%, servings +6%)</t>
        </is>
      </c>
      <c r="AF140" s="32" t="inlineStr">
        <is>
          <t>Foie Gross, Fileted Minion, Rotten-Apple Pie, Muscles Sprouts, Fish Fingers</t>
        </is>
      </c>
      <c r="AG140" s="32" t="inlineStr">
        <is>
          <t>Flavour/bulk number kept; gain moved to another number; Event dish: offline unlock undecided (START_HERE §8)</t>
        </is>
      </c>
      <c r="AH140" s="28" t="inlineStr">
        <is>
          <t>$3,640 · 1560m · 900×$9 · 232xp</t>
        </is>
      </c>
      <c r="AI140" s="28" t="inlineStr">
        <is>
          <t>$3,600 · 1560m · 900×$16 · 232xp</t>
        </is>
      </c>
      <c r="AJ140" s="28" t="inlineStr">
        <is>
          <t>2.86 → 6.92</t>
        </is>
      </c>
      <c r="AK140" s="28" t="inlineStr">
        <is>
          <t>鯉の汚物煮 カブト添え</t>
        </is>
      </c>
    </row>
    <row r="141">
      <c r="A141" s="28" t="n">
        <v>138</v>
      </c>
      <c r="B141" s="28" t="inlineStr">
        <is>
          <t>Dracooler</t>
        </is>
      </c>
      <c r="C141" s="28" t="n">
        <v>57</v>
      </c>
      <c r="D141" s="28" t="inlineStr">
        <is>
          <t>Level track</t>
        </is>
      </c>
      <c r="E141" s="28" t="inlineStr">
        <is>
          <t>Dracooler</t>
        </is>
      </c>
      <c r="F141" s="28" t="inlineStr">
        <is>
          <t>No</t>
        </is>
      </c>
      <c r="G141" s="34" t="inlineStr">
        <is>
          <t>EN pattern: buff</t>
        </is>
      </c>
      <c r="H141" s="30">
        <f>IF(W141&gt;0,X141/W141-1,"")</f>
        <v/>
      </c>
      <c r="I141" s="28" t="inlineStr"/>
      <c r="J141" s="28" t="inlineStr"/>
      <c r="K141" s="31" t="n">
        <v>909</v>
      </c>
      <c r="L141" s="28" t="n">
        <v>120</v>
      </c>
      <c r="M141" s="31" t="n">
        <v>300</v>
      </c>
      <c r="N141" s="28" t="n">
        <v>4</v>
      </c>
      <c r="O141" s="28" t="n">
        <v>70</v>
      </c>
      <c r="P141" s="31" t="n">
        <v>650</v>
      </c>
      <c r="Q141" s="28" t="n">
        <v>120</v>
      </c>
      <c r="R141" s="31" t="n">
        <v>300</v>
      </c>
      <c r="S141" s="28" t="n">
        <v>4</v>
      </c>
      <c r="T141" s="28" t="n">
        <v>70</v>
      </c>
      <c r="U141" s="31" t="n">
        <v>291</v>
      </c>
      <c r="V141" s="31">
        <f>R141*S141-P141</f>
        <v/>
      </c>
      <c r="W141" s="28" t="n">
        <v>2.42</v>
      </c>
      <c r="X141" s="28">
        <f>ROUND(V141/MAX(Q141,1),2)</f>
        <v/>
      </c>
      <c r="Y141" s="28" t="n">
        <v>0.32</v>
      </c>
      <c r="Z141" s="28">
        <f>IF(P141&gt;0,ROUND(V141/P141,2),"")</f>
        <v/>
      </c>
      <c r="AA141" s="28" t="n">
        <v>0.583</v>
      </c>
      <c r="AB141" s="28">
        <f>ROUND(T141/MAX(Q141,1),3)</f>
        <v/>
      </c>
      <c r="AC141" s="32" t="inlineStr">
        <is>
          <t>Cost 909-&gt;650 (-28%)</t>
        </is>
      </c>
      <c r="AD141" s="32" t="inlineStr">
        <is>
          <t>Treated like Net Prawn, the middle of the 5 most similar EN dishes: you changed it cost -28% (profit ×1.77)</t>
        </is>
      </c>
      <c r="AE141" s="32" t="inlineStr">
        <is>
          <t>Net Prawn (EN Lv24: cost -28%)</t>
        </is>
      </c>
      <c r="AF141" s="32" t="inlineStr">
        <is>
          <t>Net Prawn, Rancid Pulled Pork, Ox Tail, Brine Shrimp Cocktail, Ew-Nagi</t>
        </is>
      </c>
      <c r="AG141" s="32" t="inlineStr">
        <is>
          <t>Loose match: no EN dish is very close</t>
        </is>
      </c>
      <c r="AH141" s="28" t="inlineStr">
        <is>
          <t>$1,350 · 90m · 250×$6 · 65xp</t>
        </is>
      </c>
      <c r="AI141" s="28" t="inlineStr">
        <is>
          <t>$1,350 · 90m · 250×$6 · 65xp</t>
        </is>
      </c>
      <c r="AJ141" s="28" t="inlineStr">
        <is>
          <t>1.67 → 1.67</t>
        </is>
      </c>
      <c r="AK141" s="28" t="inlineStr">
        <is>
          <t>ウイルス味ポップトゥース</t>
        </is>
      </c>
    </row>
    <row r="142">
      <c r="A142" s="28" t="n">
        <v>139</v>
      </c>
      <c r="B142" s="28" t="inlineStr">
        <is>
          <t>Squirmy Maggot Ice</t>
        </is>
      </c>
      <c r="C142" s="28" t="n">
        <v>6</v>
      </c>
      <c r="D142" s="28" t="inlineStr">
        <is>
          <t>Event recipe</t>
        </is>
      </c>
      <c r="E142" s="28" t="inlineStr">
        <is>
          <t>JP-only</t>
        </is>
      </c>
      <c r="F142" s="28" t="inlineStr"/>
      <c r="G142" s="34" t="inlineStr">
        <is>
          <t>EN pattern: buff</t>
        </is>
      </c>
      <c r="H142" s="30">
        <f>IF(W142&gt;0,X142/W142-1,"")</f>
        <v/>
      </c>
      <c r="I142" s="28" t="inlineStr"/>
      <c r="J142" s="28" t="inlineStr"/>
      <c r="K142" s="31" t="n">
        <v>300</v>
      </c>
      <c r="L142" s="28" t="n">
        <v>180</v>
      </c>
      <c r="M142" s="31" t="n">
        <v>250</v>
      </c>
      <c r="N142" s="28" t="n">
        <v>3</v>
      </c>
      <c r="O142" s="28" t="n">
        <v>50</v>
      </c>
      <c r="P142" s="31" t="n">
        <v>200</v>
      </c>
      <c r="Q142" s="28" t="n">
        <v>180</v>
      </c>
      <c r="R142" s="31" t="n">
        <v>270</v>
      </c>
      <c r="S142" s="28" t="n">
        <v>3</v>
      </c>
      <c r="T142" s="28" t="n">
        <v>50</v>
      </c>
      <c r="U142" s="31" t="n">
        <v>450</v>
      </c>
      <c r="V142" s="31">
        <f>R142*S142-P142</f>
        <v/>
      </c>
      <c r="W142" s="28" t="n">
        <v>2.5</v>
      </c>
      <c r="X142" s="28">
        <f>ROUND(V142/MAX(Q142,1),2)</f>
        <v/>
      </c>
      <c r="Y142" s="28" t="n">
        <v>1.5</v>
      </c>
      <c r="Z142" s="28">
        <f>IF(P142&gt;0,ROUND(V142/P142,2),"")</f>
        <v/>
      </c>
      <c r="AA142" s="28" t="n">
        <v>0.278</v>
      </c>
      <c r="AB142" s="28">
        <f>ROUND(T142/MAX(Q142,1),3)</f>
        <v/>
      </c>
      <c r="AC142" s="32" t="inlineStr">
        <is>
          <t>Cost 300-&gt;200 (-33%); Servings 250-&gt;270 (+8%)</t>
        </is>
      </c>
      <c r="AD142" s="32" t="inlineStr">
        <is>
          <t>Treated like Roast Turk-key, the middle of the 5 most similar EN dishes: you changed it cost -33%, servings +8% (profit ×1.49)</t>
        </is>
      </c>
      <c r="AE142" s="32" t="inlineStr">
        <is>
          <t>Roast Turk-key (EN Lv12: cost -33%, servings +8%)</t>
        </is>
      </c>
      <c r="AF142" s="32" t="inlineStr">
        <is>
          <t>Haggis, Street Pizza, Roast Turk-key, Torn-Up-Cake, Jam on Toes</t>
        </is>
      </c>
      <c r="AG142" s="32" t="inlineStr">
        <is>
          <t>Event dish: offline unlock undecided (START_HERE §8)</t>
        </is>
      </c>
      <c r="AH142" s="28" t="inlineStr"/>
      <c r="AI142" s="28" t="inlineStr"/>
      <c r="AJ142" s="28" t="inlineStr"/>
      <c r="AK142" s="28" t="inlineStr">
        <is>
          <t>ウジウジした氷</t>
        </is>
      </c>
    </row>
    <row r="143">
      <c r="A143" s="28" t="n">
        <v>140</v>
      </c>
      <c r="B143" s="28" t="inlineStr">
        <is>
          <t>Brain Washer Soup</t>
        </is>
      </c>
      <c r="C143" s="28" t="n">
        <v>4</v>
      </c>
      <c r="D143" s="28" t="inlineStr">
        <is>
          <t>Event recipe</t>
        </is>
      </c>
      <c r="E143" s="28" t="inlineStr">
        <is>
          <t>Brain Washer Soup</t>
        </is>
      </c>
      <c r="F143" s="28" t="inlineStr">
        <is>
          <t>No</t>
        </is>
      </c>
      <c r="G143" s="34" t="inlineStr">
        <is>
          <t>EN pattern: buff</t>
        </is>
      </c>
      <c r="H143" s="30">
        <f>IF(W143&gt;0,X143/W143-1,"")</f>
        <v/>
      </c>
      <c r="I143" s="28" t="inlineStr"/>
      <c r="J143" s="28" t="inlineStr"/>
      <c r="K143" s="31" t="n">
        <v>730</v>
      </c>
      <c r="L143" s="28" t="n">
        <v>730</v>
      </c>
      <c r="M143" s="31" t="n">
        <v>563</v>
      </c>
      <c r="N143" s="28" t="n">
        <v>6</v>
      </c>
      <c r="O143" s="28" t="n">
        <v>22</v>
      </c>
      <c r="P143" s="31" t="n">
        <v>730</v>
      </c>
      <c r="Q143" s="28" t="n">
        <v>730</v>
      </c>
      <c r="R143" s="31" t="n">
        <v>615</v>
      </c>
      <c r="S143" s="28" t="n">
        <v>6</v>
      </c>
      <c r="T143" s="28" t="n">
        <v>22</v>
      </c>
      <c r="U143" s="31" t="n">
        <v>2648</v>
      </c>
      <c r="V143" s="31">
        <f>R143*S143-P143</f>
        <v/>
      </c>
      <c r="W143" s="28" t="n">
        <v>3.63</v>
      </c>
      <c r="X143" s="28">
        <f>ROUND(V143/MAX(Q143,1),2)</f>
        <v/>
      </c>
      <c r="Y143" s="28" t="n">
        <v>3.63</v>
      </c>
      <c r="Z143" s="28">
        <f>IF(P143&gt;0,ROUND(V143/P143,2),"")</f>
        <v/>
      </c>
      <c r="AA143" s="28" t="n">
        <v>0.03</v>
      </c>
      <c r="AB143" s="28">
        <f>ROUND(T143/MAX(Q143,1),3)</f>
        <v/>
      </c>
      <c r="AC143" s="32" t="inlineStr">
        <is>
          <t>Servings 563-&gt;615 (+9%)</t>
        </is>
      </c>
      <c r="AD143" s="32" t="inlineStr">
        <is>
          <t>Treated like Coal-Slaw, the middle of the 5 most similar EN dishes: you changed it cost -0%, servings +9% (profit ×1.11)</t>
        </is>
      </c>
      <c r="AE143" s="32" t="inlineStr">
        <is>
          <t>Coal-Slaw (EN Lv37: cost -0%, servings +9%)</t>
        </is>
      </c>
      <c r="AF143" s="32" t="inlineStr">
        <is>
          <t>Dark Matter Loaf, Entropy Cassoulet, Festering Hot Chocolate, Coal-Slaw, Beeline Honey Glazed "Ham"</t>
        </is>
      </c>
      <c r="AG143" s="32" t="inlineStr">
        <is>
          <t>Event dish: offline unlock undecided (START_HERE §8)</t>
        </is>
      </c>
      <c r="AH143" s="28" t="inlineStr">
        <is>
          <t>$600 · 20m · 600×$2 · 18xp</t>
        </is>
      </c>
      <c r="AI143" s="28" t="inlineStr">
        <is>
          <t>$600 · 20m · 600×$2 · 18xp</t>
        </is>
      </c>
      <c r="AJ143" s="28" t="inlineStr">
        <is>
          <t>30.00 → 30.00</t>
        </is>
      </c>
      <c r="AK143" s="28" t="inlineStr">
        <is>
          <t>２周年カラフォーケーキ</t>
        </is>
      </c>
    </row>
    <row r="144">
      <c r="A144" s="28" t="n">
        <v>141</v>
      </c>
      <c r="B144" s="28" t="inlineStr">
        <is>
          <t>Nuke Fondue</t>
        </is>
      </c>
      <c r="C144" s="28" t="n">
        <v>12</v>
      </c>
      <c r="D144" s="28" t="inlineStr">
        <is>
          <t>Event recipe</t>
        </is>
      </c>
      <c r="E144" s="28" t="inlineStr">
        <is>
          <t>Nuke Fondue</t>
        </is>
      </c>
      <c r="F144" s="28" t="inlineStr">
        <is>
          <t>No</t>
        </is>
      </c>
      <c r="G144" s="34" t="inlineStr">
        <is>
          <t>EN pattern: buff</t>
        </is>
      </c>
      <c r="H144" s="30">
        <f>IF(W144&gt;0,X144/W144-1,"")</f>
        <v/>
      </c>
      <c r="I144" s="28" t="inlineStr"/>
      <c r="J144" s="28" t="inlineStr"/>
      <c r="K144" s="31" t="n">
        <v>1500</v>
      </c>
      <c r="L144" s="28" t="n">
        <v>800</v>
      </c>
      <c r="M144" s="31" t="n">
        <v>240</v>
      </c>
      <c r="N144" s="28" t="n">
        <v>7</v>
      </c>
      <c r="O144" s="28" t="n">
        <v>180</v>
      </c>
      <c r="P144" s="31" t="n">
        <v>1175</v>
      </c>
      <c r="Q144" s="28" t="n">
        <v>800</v>
      </c>
      <c r="R144" s="31" t="n">
        <v>255</v>
      </c>
      <c r="S144" s="28" t="n">
        <v>7</v>
      </c>
      <c r="T144" s="28" t="n">
        <v>180</v>
      </c>
      <c r="U144" s="31" t="n">
        <v>180</v>
      </c>
      <c r="V144" s="31">
        <f>R144*S144-P144</f>
        <v/>
      </c>
      <c r="W144" s="28" t="n">
        <v>0.23</v>
      </c>
      <c r="X144" s="28">
        <f>ROUND(V144/MAX(Q144,1),2)</f>
        <v/>
      </c>
      <c r="Y144" s="28" t="n">
        <v>0.12</v>
      </c>
      <c r="Z144" s="28">
        <f>IF(P144&gt;0,ROUND(V144/P144,2),"")</f>
        <v/>
      </c>
      <c r="AA144" s="28" t="n">
        <v>0.225</v>
      </c>
      <c r="AB144" s="28">
        <f>ROUND(T144/MAX(Q144,1),3)</f>
        <v/>
      </c>
      <c r="AC144" s="32" t="inlineStr">
        <is>
          <t>Cost 1,500-&gt;1,175 (-22%); Servings 240-&gt;255 (+6%)</t>
        </is>
      </c>
      <c r="AD144" s="32" t="inlineStr">
        <is>
          <t>Treated like Fish Fingers, the middle of the 5 most similar EN dishes: you changed it cost -20%, servings +6% (profit ×2.12)</t>
        </is>
      </c>
      <c r="AE144" s="32" t="inlineStr">
        <is>
          <t>Fish Fingers (EN Lv27: cost -20%, servings +6%)</t>
        </is>
      </c>
      <c r="AF144" s="32" t="inlineStr">
        <is>
          <t>Anti Hero Sandwich, Gruesome Gruel, Fish Fingers, Rotisserie Chicken, Blood Pudding</t>
        </is>
      </c>
      <c r="AG144" s="32" t="inlineStr">
        <is>
          <t>Event dish: offline unlock undecided (START_HERE §8)</t>
        </is>
      </c>
      <c r="AH144" s="28" t="inlineStr">
        <is>
          <t>$1,800 · 1080m · 975×$4 · 110xp</t>
        </is>
      </c>
      <c r="AI144" s="28" t="inlineStr">
        <is>
          <t>$1,800 · 1080m · 975×$4 · 110xp</t>
        </is>
      </c>
      <c r="AJ144" s="28" t="inlineStr">
        <is>
          <t>1.94 → 1.94</t>
        </is>
      </c>
      <c r="AK144" s="28" t="inlineStr">
        <is>
          <t>おばけかぼちゃプリン</t>
        </is>
      </c>
    </row>
    <row r="145">
      <c r="A145" s="28" t="n">
        <v>142</v>
      </c>
      <c r="B145" s="28" t="inlineStr">
        <is>
          <t>Bat BBQ with Filthy Sauce</t>
        </is>
      </c>
      <c r="C145" s="28" t="n">
        <v>24</v>
      </c>
      <c r="D145" s="28" t="inlineStr">
        <is>
          <t>Event recipe</t>
        </is>
      </c>
      <c r="E145" s="28" t="inlineStr">
        <is>
          <t>JP-only</t>
        </is>
      </c>
      <c r="F145" s="28" t="inlineStr"/>
      <c r="G145" s="34" t="inlineStr">
        <is>
          <t>EN pattern: buff</t>
        </is>
      </c>
      <c r="H145" s="30">
        <f>IF(W145&gt;0,X145/W145-1,"")</f>
        <v/>
      </c>
      <c r="I145" s="28" t="inlineStr"/>
      <c r="J145" s="28" t="inlineStr"/>
      <c r="K145" s="31" t="n">
        <v>5555</v>
      </c>
      <c r="L145" s="28" t="n">
        <v>1000</v>
      </c>
      <c r="M145" s="31" t="n">
        <v>488</v>
      </c>
      <c r="N145" s="28" t="n">
        <v>12</v>
      </c>
      <c r="O145" s="28" t="n">
        <v>300</v>
      </c>
      <c r="P145" s="31" t="n">
        <v>5555</v>
      </c>
      <c r="Q145" s="28" t="n">
        <v>1000</v>
      </c>
      <c r="R145" s="31" t="n">
        <v>520</v>
      </c>
      <c r="S145" s="28" t="n">
        <v>12</v>
      </c>
      <c r="T145" s="28" t="n">
        <v>300</v>
      </c>
      <c r="U145" s="31" t="n">
        <v>301</v>
      </c>
      <c r="V145" s="31">
        <f>R145*S145-P145</f>
        <v/>
      </c>
      <c r="W145" s="28" t="n">
        <v>0.3</v>
      </c>
      <c r="X145" s="28">
        <f>ROUND(V145/MAX(Q145,1),2)</f>
        <v/>
      </c>
      <c r="Y145" s="28" t="n">
        <v>0.05</v>
      </c>
      <c r="Z145" s="28">
        <f>IF(P145&gt;0,ROUND(V145/P145,2),"")</f>
        <v/>
      </c>
      <c r="AA145" s="28" t="n">
        <v>0.3</v>
      </c>
      <c r="AB145" s="28">
        <f>ROUND(T145/MAX(Q145,1),3)</f>
        <v/>
      </c>
      <c r="AC145" s="32" t="inlineStr">
        <is>
          <t>Servings 488-&gt;520 (+7%)</t>
        </is>
      </c>
      <c r="AD145" s="32" t="inlineStr">
        <is>
          <t>Treated like Fish Fingers, the middle of the 5 most similar EN dishes: you changed it cost -20%, servings +6% (profit ×2.12)</t>
        </is>
      </c>
      <c r="AE145" s="32" t="inlineStr">
        <is>
          <t>Fish Fingers (EN Lv27: cost -20%, servings +6%)</t>
        </is>
      </c>
      <c r="AF145" s="32" t="inlineStr">
        <is>
          <t>Anti Hero Sandwich, Gruesome Gruel, Fruit Cake, Escargut, Fish Fingers</t>
        </is>
      </c>
      <c r="AG145" s="32" t="inlineStr">
        <is>
          <t>Loose match: no EN dish is very close; Event dish: offline unlock undecided (START_HERE §8)</t>
        </is>
      </c>
      <c r="AH145" s="28" t="inlineStr"/>
      <c r="AI145" s="28" t="inlineStr"/>
      <c r="AJ145" s="28" t="inlineStr"/>
      <c r="AK145" s="28" t="inlineStr">
        <is>
          <t>バットBBQ汚ソース添え</t>
        </is>
      </c>
    </row>
    <row r="146">
      <c r="A146" s="28" t="n">
        <v>143</v>
      </c>
      <c r="B146" s="28" t="inlineStr">
        <is>
          <t>Reckless Eyeballs</t>
        </is>
      </c>
      <c r="C146" s="28" t="n">
        <v>58</v>
      </c>
      <c r="D146" s="28" t="inlineStr">
        <is>
          <t>Level track</t>
        </is>
      </c>
      <c r="E146" s="28" t="inlineStr">
        <is>
          <t>JP-only</t>
        </is>
      </c>
      <c r="F146" s="28" t="inlineStr"/>
      <c r="G146" s="34" t="inlineStr">
        <is>
          <t>EN pattern: buff</t>
        </is>
      </c>
      <c r="H146" s="30">
        <f>IF(W146&gt;0,X146/W146-1,"")</f>
        <v/>
      </c>
      <c r="I146" s="28" t="inlineStr"/>
      <c r="J146" s="28" t="inlineStr"/>
      <c r="K146" s="31" t="n">
        <v>1500</v>
      </c>
      <c r="L146" s="28" t="n">
        <v>580</v>
      </c>
      <c r="M146" s="31" t="n">
        <v>320</v>
      </c>
      <c r="N146" s="28" t="n">
        <v>9</v>
      </c>
      <c r="O146" s="28" t="n">
        <v>58</v>
      </c>
      <c r="P146" s="31" t="n">
        <v>1500</v>
      </c>
      <c r="Q146" s="28" t="n">
        <v>580</v>
      </c>
      <c r="R146" s="31" t="n">
        <v>335</v>
      </c>
      <c r="S146" s="28" t="n">
        <v>9</v>
      </c>
      <c r="T146" s="28" t="n">
        <v>58</v>
      </c>
      <c r="U146" s="31" t="n">
        <v>1380</v>
      </c>
      <c r="V146" s="31">
        <f>R146*S146-P146</f>
        <v/>
      </c>
      <c r="W146" s="28" t="n">
        <v>2.38</v>
      </c>
      <c r="X146" s="28">
        <f>ROUND(V146/MAX(Q146,1),2)</f>
        <v/>
      </c>
      <c r="Y146" s="28" t="n">
        <v>0.92</v>
      </c>
      <c r="Z146" s="28">
        <f>IF(P146&gt;0,ROUND(V146/P146,2),"")</f>
        <v/>
      </c>
      <c r="AA146" s="28" t="n">
        <v>0.1</v>
      </c>
      <c r="AB146" s="28">
        <f>ROUND(T146/MAX(Q146,1),3)</f>
        <v/>
      </c>
      <c r="AC146" s="32" t="inlineStr">
        <is>
          <t>Servings 320-&gt;335 (+5%)</t>
        </is>
      </c>
      <c r="AD146" s="32" t="inlineStr">
        <is>
          <t>Treated like Voodoo Fondue, the middle of the 5 most similar EN dishes: you changed it cost -1%, servings +4% (profit ×1.09)</t>
        </is>
      </c>
      <c r="AE146" s="32" t="inlineStr">
        <is>
          <t>Voodoo Fondue (EN Lv70: cost -1%, servings +4%)</t>
        </is>
      </c>
      <c r="AF146" s="32" t="inlineStr">
        <is>
          <t>Hash Clown, Verminestroni, Broxy, Fetid Djinni, Voodoo Fondue</t>
        </is>
      </c>
      <c r="AG146" s="32" t="inlineStr"/>
      <c r="AH146" s="28" t="inlineStr"/>
      <c r="AI146" s="28" t="inlineStr"/>
      <c r="AJ146" s="28" t="inlineStr"/>
      <c r="AK146" s="28" t="inlineStr">
        <is>
          <t>や無茶な目玉</t>
        </is>
      </c>
    </row>
    <row r="147">
      <c r="A147" s="28" t="n">
        <v>144</v>
      </c>
      <c r="B147" s="28" t="inlineStr">
        <is>
          <t>Fake Tea Jelly</t>
        </is>
      </c>
      <c r="C147" s="28" t="n">
        <v>10</v>
      </c>
      <c r="D147" s="28" t="inlineStr">
        <is>
          <t>Event recipe</t>
        </is>
      </c>
      <c r="E147" s="28" t="inlineStr">
        <is>
          <t>JP-only</t>
        </is>
      </c>
      <c r="F147" s="28" t="inlineStr"/>
      <c r="G147" s="34" t="inlineStr">
        <is>
          <t>EN pattern: buff</t>
        </is>
      </c>
      <c r="H147" s="30">
        <f>IF(W147&gt;0,X147/W147-1,"")</f>
        <v/>
      </c>
      <c r="I147" s="28" t="inlineStr"/>
      <c r="J147" s="28" t="inlineStr"/>
      <c r="K147" s="31" t="n">
        <v>250</v>
      </c>
      <c r="L147" s="28" t="n">
        <v>300</v>
      </c>
      <c r="M147" s="31" t="n">
        <v>100</v>
      </c>
      <c r="N147" s="28" t="n">
        <v>10</v>
      </c>
      <c r="O147" s="28" t="n">
        <v>33</v>
      </c>
      <c r="P147" s="31" t="n">
        <v>250</v>
      </c>
      <c r="Q147" s="28" t="n">
        <v>300</v>
      </c>
      <c r="R147" s="31" t="n">
        <v>105</v>
      </c>
      <c r="S147" s="28" t="n">
        <v>10</v>
      </c>
      <c r="T147" s="28" t="n">
        <v>33</v>
      </c>
      <c r="U147" s="31" t="n">
        <v>750</v>
      </c>
      <c r="V147" s="31">
        <f>R147*S147-P147</f>
        <v/>
      </c>
      <c r="W147" s="28" t="n">
        <v>2.5</v>
      </c>
      <c r="X147" s="28">
        <f>ROUND(V147/MAX(Q147,1),2)</f>
        <v/>
      </c>
      <c r="Y147" s="28" t="n">
        <v>3</v>
      </c>
      <c r="Z147" s="28">
        <f>IF(P147&gt;0,ROUND(V147/P147,2),"")</f>
        <v/>
      </c>
      <c r="AA147" s="28" t="n">
        <v>0.11</v>
      </c>
      <c r="AB147" s="28">
        <f>ROUND(T147/MAX(Q147,1),3)</f>
        <v/>
      </c>
      <c r="AC147" s="32" t="inlineStr">
        <is>
          <t>Servings 100-&gt;105 (+5%)</t>
        </is>
      </c>
      <c r="AD147" s="32" t="inlineStr">
        <is>
          <t>Treated like Buffalo Wings, the middle of the 5 most similar EN dishes: you changed it servings +6% (profit ×1.09)</t>
        </is>
      </c>
      <c r="AE147" s="32" t="inlineStr">
        <is>
          <t>Buffalo Wings (EN Lv27: servings +6%)</t>
        </is>
      </c>
      <c r="AF147" s="32" t="inlineStr">
        <is>
          <t>Tweet Loaf, Buffalo Wings, Dark Matter Loaf, Leech Melba, Beeline Honey Glazed "Ham"</t>
        </is>
      </c>
      <c r="AG147" s="32" t="inlineStr">
        <is>
          <t>Loose match: no EN dish is very close; Event dish: offline unlock undecided (START_HERE §8)</t>
        </is>
      </c>
      <c r="AH147" s="28" t="inlineStr"/>
      <c r="AI147" s="28" t="inlineStr"/>
      <c r="AJ147" s="28" t="inlineStr"/>
      <c r="AK147" s="28" t="inlineStr">
        <is>
          <t>ティーなふりしたゼリー</t>
        </is>
      </c>
    </row>
    <row r="148">
      <c r="A148" s="28" t="n">
        <v>145</v>
      </c>
      <c r="B148" s="28" t="inlineStr">
        <is>
          <t>Mad Dessert Platter</t>
        </is>
      </c>
      <c r="C148" s="28" t="n">
        <v>18</v>
      </c>
      <c r="D148" s="28" t="inlineStr">
        <is>
          <t>Event recipe</t>
        </is>
      </c>
      <c r="E148" s="28" t="inlineStr">
        <is>
          <t>JP-only</t>
        </is>
      </c>
      <c r="F148" s="28" t="inlineStr"/>
      <c r="G148" s="35" t="inlineStr">
        <is>
          <t>EN pattern: hold</t>
        </is>
      </c>
      <c r="H148" s="30">
        <f>IF(W148&gt;0,X148/W148-1,"")</f>
        <v/>
      </c>
      <c r="I148" s="28" t="inlineStr"/>
      <c r="J148" s="28" t="inlineStr"/>
      <c r="K148" s="31" t="n">
        <v>2014</v>
      </c>
      <c r="L148" s="28" t="n">
        <v>4320</v>
      </c>
      <c r="M148" s="31" t="n">
        <v>900</v>
      </c>
      <c r="N148" s="28" t="n">
        <v>8</v>
      </c>
      <c r="O148" s="28" t="n">
        <v>350</v>
      </c>
      <c r="P148" s="31" t="n">
        <v>2014</v>
      </c>
      <c r="Q148" s="28" t="n">
        <v>4320</v>
      </c>
      <c r="R148" s="31" t="n">
        <v>900</v>
      </c>
      <c r="S148" s="28" t="n">
        <v>8</v>
      </c>
      <c r="T148" s="28" t="n">
        <v>350</v>
      </c>
      <c r="U148" s="31" t="n">
        <v>5186</v>
      </c>
      <c r="V148" s="31">
        <f>R148*S148-P148</f>
        <v/>
      </c>
      <c r="W148" s="28" t="n">
        <v>1.2</v>
      </c>
      <c r="X148" s="28">
        <f>ROUND(V148/MAX(Q148,1),2)</f>
        <v/>
      </c>
      <c r="Y148" s="28" t="n">
        <v>2.57</v>
      </c>
      <c r="Z148" s="28">
        <f>IF(P148&gt;0,ROUND(V148/P148,2),"")</f>
        <v/>
      </c>
      <c r="AA148" s="28" t="n">
        <v>0.081</v>
      </c>
      <c r="AB148" s="28">
        <f>ROUND(T148/MAX(Q148,1),3)</f>
        <v/>
      </c>
      <c r="AC148" s="32" t="inlineStr">
        <is>
          <t>—</t>
        </is>
      </c>
      <c r="AD148" s="32" t="inlineStr">
        <is>
          <t>Treated like Tumor Melts, the middle of the 5 most similar EN dishes: you left it unchanged</t>
        </is>
      </c>
      <c r="AE148" s="32" t="inlineStr">
        <is>
          <t>Tumor Melts (EN Lv6: unchanged)</t>
        </is>
      </c>
      <c r="AF148" s="32" t="inlineStr">
        <is>
          <t>Head Cheese Pizza, Pigs in a Blanket, Puking Duck, Tumor Melts, Shamrock Shake</t>
        </is>
      </c>
      <c r="AG148" s="32" t="inlineStr">
        <is>
          <t>Loose match: no EN dish is very close; Event dish: offline unlock undecided (START_HERE §8)</t>
        </is>
      </c>
      <c r="AH148" s="28" t="inlineStr"/>
      <c r="AI148" s="28" t="inlineStr"/>
      <c r="AJ148" s="28" t="inlineStr"/>
      <c r="AK148" s="28" t="inlineStr">
        <is>
          <t>気狂いなデザート盛合せ</t>
        </is>
      </c>
    </row>
    <row r="149">
      <c r="A149" s="28" t="n">
        <v>146</v>
      </c>
      <c r="B149" s="28" t="inlineStr">
        <is>
          <t>Cheshire Ham Tea</t>
        </is>
      </c>
      <c r="C149" s="28" t="n">
        <v>28</v>
      </c>
      <c r="D149" s="28" t="inlineStr">
        <is>
          <t>Event recipe</t>
        </is>
      </c>
      <c r="E149" s="28" t="inlineStr">
        <is>
          <t>JP-only</t>
        </is>
      </c>
      <c r="F149" s="28" t="inlineStr"/>
      <c r="G149" s="34" t="inlineStr">
        <is>
          <t>EN pattern: buff</t>
        </is>
      </c>
      <c r="H149" s="30">
        <f>IF(W149&gt;0,X149/W149-1,"")</f>
        <v/>
      </c>
      <c r="I149" s="28" t="inlineStr"/>
      <c r="J149" s="28" t="inlineStr"/>
      <c r="K149" s="31" t="n">
        <v>1600</v>
      </c>
      <c r="L149" s="28" t="n">
        <v>1560</v>
      </c>
      <c r="M149" s="31" t="n">
        <v>600</v>
      </c>
      <c r="N149" s="28" t="n">
        <v>7</v>
      </c>
      <c r="O149" s="28" t="n">
        <v>200</v>
      </c>
      <c r="P149" s="31" t="n">
        <v>1100</v>
      </c>
      <c r="Q149" s="28" t="n">
        <v>1560</v>
      </c>
      <c r="R149" s="31" t="n">
        <v>600</v>
      </c>
      <c r="S149" s="28" t="n">
        <v>7</v>
      </c>
      <c r="T149" s="28" t="n">
        <v>200</v>
      </c>
      <c r="U149" s="31" t="n">
        <v>2600</v>
      </c>
      <c r="V149" s="31">
        <f>R149*S149-P149</f>
        <v/>
      </c>
      <c r="W149" s="28" t="n">
        <v>1.67</v>
      </c>
      <c r="X149" s="28">
        <f>ROUND(V149/MAX(Q149,1),2)</f>
        <v/>
      </c>
      <c r="Y149" s="28" t="n">
        <v>1.62</v>
      </c>
      <c r="Z149" s="28">
        <f>IF(P149&gt;0,ROUND(V149/P149,2),"")</f>
        <v/>
      </c>
      <c r="AA149" s="28" t="n">
        <v>0.128</v>
      </c>
      <c r="AB149" s="28">
        <f>ROUND(T149/MAX(Q149,1),3)</f>
        <v/>
      </c>
      <c r="AC149" s="32" t="inlineStr">
        <is>
          <t>Cost 1,600-&gt;1,100 (-31%)</t>
        </is>
      </c>
      <c r="AD149" s="32" t="inlineStr">
        <is>
          <t>Treated like Deep Fried Bacon Wrapped Pizza, the middle of the 5 most similar EN dishes: you changed it cost -30%, servings -16% (profit ×1.01)</t>
        </is>
      </c>
      <c r="AE149" s="32" t="inlineStr">
        <is>
          <t>Deep Fried Bacon Wrapped Pizza (EN Lv29: cost -30%, servings -16%)</t>
        </is>
      </c>
      <c r="AF149" s="32" t="inlineStr">
        <is>
          <t>Head Cheese Pizza, Quasar Coffee, Puking Duck, Nuke Fondue, Deep Fried Bacon Wrapped Pizza</t>
        </is>
      </c>
      <c r="AG149" s="32" t="inlineStr">
        <is>
          <t>Event dish: offline unlock undecided (START_HERE §8)</t>
        </is>
      </c>
      <c r="AH149" s="28" t="inlineStr"/>
      <c r="AI149" s="28" t="inlineStr"/>
      <c r="AJ149" s="28" t="inlineStr"/>
      <c r="AK149" s="28" t="inlineStr">
        <is>
          <t>チェッシャムティー</t>
        </is>
      </c>
    </row>
    <row r="150">
      <c r="A150" s="28" t="n">
        <v>147</v>
      </c>
      <c r="B150" s="28" t="inlineStr">
        <is>
          <t>Giant Silkworm Spring Roll</t>
        </is>
      </c>
      <c r="C150" s="28" t="n">
        <v>14</v>
      </c>
      <c r="D150" s="28" t="inlineStr">
        <is>
          <t>Event recipe</t>
        </is>
      </c>
      <c r="E150" s="28" t="inlineStr">
        <is>
          <t>JP-only</t>
        </is>
      </c>
      <c r="F150" s="28" t="inlineStr"/>
      <c r="G150" s="35" t="inlineStr">
        <is>
          <t>EN pattern: hold</t>
        </is>
      </c>
      <c r="H150" s="30">
        <f>IF(W150&gt;0,X150/W150-1,"")</f>
        <v/>
      </c>
      <c r="I150" s="28" t="inlineStr"/>
      <c r="J150" s="28" t="inlineStr"/>
      <c r="K150" s="31" t="n">
        <v>2000</v>
      </c>
      <c r="L150" s="28" t="n">
        <v>360</v>
      </c>
      <c r="M150" s="31" t="n">
        <v>120</v>
      </c>
      <c r="N150" s="28" t="n">
        <v>22</v>
      </c>
      <c r="O150" s="28" t="n">
        <v>200</v>
      </c>
      <c r="P150" s="31" t="n">
        <v>2000</v>
      </c>
      <c r="Q150" s="28" t="n">
        <v>360</v>
      </c>
      <c r="R150" s="31" t="n">
        <v>120</v>
      </c>
      <c r="S150" s="28" t="n">
        <v>22</v>
      </c>
      <c r="T150" s="28" t="n">
        <v>200</v>
      </c>
      <c r="U150" s="31" t="n">
        <v>640</v>
      </c>
      <c r="V150" s="31">
        <f>R150*S150-P150</f>
        <v/>
      </c>
      <c r="W150" s="28" t="n">
        <v>1.78</v>
      </c>
      <c r="X150" s="28">
        <f>ROUND(V150/MAX(Q150,1),2)</f>
        <v/>
      </c>
      <c r="Y150" s="28" t="n">
        <v>0.32</v>
      </c>
      <c r="Z150" s="28">
        <f>IF(P150&gt;0,ROUND(V150/P150,2),"")</f>
        <v/>
      </c>
      <c r="AA150" s="28" t="n">
        <v>0.556</v>
      </c>
      <c r="AB150" s="28">
        <f>ROUND(T150/MAX(Q150,1),3)</f>
        <v/>
      </c>
      <c r="AC150" s="32" t="inlineStr">
        <is>
          <t>—</t>
        </is>
      </c>
      <c r="AD150" s="32" t="inlineStr">
        <is>
          <t>$22 per serving is above anything in your EN game (max $16), so no EN dish is comparable; held for your call</t>
        </is>
      </c>
      <c r="AE150" s="32" t="inlineStr"/>
      <c r="AF150" s="32" t="inlineStr"/>
      <c r="AG150" s="32" t="inlineStr">
        <is>
          <t>No comparable EN dish; Event dish: offline unlock undecided (START_HERE §8)</t>
        </is>
      </c>
      <c r="AH150" s="28" t="inlineStr"/>
      <c r="AI150" s="28" t="inlineStr"/>
      <c r="AJ150" s="28" t="inlineStr"/>
      <c r="AK150" s="28" t="inlineStr">
        <is>
          <t>大生糸春巻き</t>
        </is>
      </c>
    </row>
    <row r="151">
      <c r="A151" s="28" t="n">
        <v>148</v>
      </c>
      <c r="B151" s="28" t="inlineStr">
        <is>
          <t>Scavenged Morning Set</t>
        </is>
      </c>
      <c r="C151" s="28" t="n">
        <v>32</v>
      </c>
      <c r="D151" s="28" t="inlineStr">
        <is>
          <t>Event recipe</t>
        </is>
      </c>
      <c r="E151" s="28" t="inlineStr">
        <is>
          <t>JP-only</t>
        </is>
      </c>
      <c r="F151" s="28" t="inlineStr"/>
      <c r="G151" s="35" t="inlineStr">
        <is>
          <t>EN pattern: hold</t>
        </is>
      </c>
      <c r="H151" s="30">
        <f>IF(W151&gt;0,X151/W151-1,"")</f>
        <v/>
      </c>
      <c r="I151" s="28" t="inlineStr"/>
      <c r="J151" s="28" t="inlineStr"/>
      <c r="K151" s="31" t="n">
        <v>7000</v>
      </c>
      <c r="L151" s="28" t="n">
        <v>4320</v>
      </c>
      <c r="M151" s="31" t="n">
        <v>10</v>
      </c>
      <c r="N151" s="28" t="n">
        <v>1400</v>
      </c>
      <c r="O151" s="28" t="n">
        <v>100</v>
      </c>
      <c r="P151" s="31" t="n">
        <v>7000</v>
      </c>
      <c r="Q151" s="28" t="n">
        <v>4320</v>
      </c>
      <c r="R151" s="31" t="n">
        <v>10</v>
      </c>
      <c r="S151" s="28" t="n">
        <v>1400</v>
      </c>
      <c r="T151" s="28" t="n">
        <v>100</v>
      </c>
      <c r="U151" s="31" t="n">
        <v>7000</v>
      </c>
      <c r="V151" s="31">
        <f>R151*S151-P151</f>
        <v/>
      </c>
      <c r="W151" s="28" t="n">
        <v>1.62</v>
      </c>
      <c r="X151" s="28">
        <f>ROUND(V151/MAX(Q151,1),2)</f>
        <v/>
      </c>
      <c r="Y151" s="28" t="n">
        <v>1</v>
      </c>
      <c r="Z151" s="28">
        <f>IF(P151&gt;0,ROUND(V151/P151,2),"")</f>
        <v/>
      </c>
      <c r="AA151" s="28" t="n">
        <v>0.023</v>
      </c>
      <c r="AB151" s="28">
        <f>ROUND(T151/MAX(Q151,1),3)</f>
        <v/>
      </c>
      <c r="AC151" s="32" t="inlineStr">
        <is>
          <t>—</t>
        </is>
      </c>
      <c r="AD151" s="32" t="inlineStr">
        <is>
          <t>$1,400 per serving is above anything in your EN game (max $16), so no EN dish is comparable; held for your call</t>
        </is>
      </c>
      <c r="AE151" s="32" t="inlineStr"/>
      <c r="AF151" s="32" t="inlineStr"/>
      <c r="AG151" s="32" t="inlineStr">
        <is>
          <t>No comparable EN dish; Event dish: offline unlock undecided (START_HERE §8)</t>
        </is>
      </c>
      <c r="AH151" s="28" t="inlineStr"/>
      <c r="AI151" s="28" t="inlineStr"/>
      <c r="AJ151" s="28" t="inlineStr"/>
      <c r="AK151" s="28" t="inlineStr">
        <is>
          <t>朝るとモーニング</t>
        </is>
      </c>
    </row>
    <row r="152">
      <c r="A152" s="28" t="n">
        <v>149</v>
      </c>
      <c r="B152" s="28" t="inlineStr">
        <is>
          <t>Multi-Species Skull Sampler</t>
        </is>
      </c>
      <c r="C152" s="28" t="n">
        <v>28</v>
      </c>
      <c r="D152" s="28" t="inlineStr">
        <is>
          <t>Event recipe</t>
        </is>
      </c>
      <c r="E152" s="28" t="inlineStr">
        <is>
          <t>JP-only</t>
        </is>
      </c>
      <c r="F152" s="28" t="inlineStr"/>
      <c r="G152" s="35" t="inlineStr">
        <is>
          <t>EN pattern: hold</t>
        </is>
      </c>
      <c r="H152" s="30">
        <f>IF(W152&gt;0,X152/W152-1,"")</f>
        <v/>
      </c>
      <c r="I152" s="28" t="inlineStr"/>
      <c r="J152" s="28" t="inlineStr"/>
      <c r="K152" s="31" t="n">
        <v>400</v>
      </c>
      <c r="L152" s="28" t="n">
        <v>30</v>
      </c>
      <c r="M152" s="31" t="n">
        <v>20</v>
      </c>
      <c r="N152" s="28" t="n">
        <v>30</v>
      </c>
      <c r="O152" s="28" t="n">
        <v>50</v>
      </c>
      <c r="P152" s="31" t="n">
        <v>400</v>
      </c>
      <c r="Q152" s="28" t="n">
        <v>30</v>
      </c>
      <c r="R152" s="31" t="n">
        <v>20</v>
      </c>
      <c r="S152" s="28" t="n">
        <v>30</v>
      </c>
      <c r="T152" s="28" t="n">
        <v>50</v>
      </c>
      <c r="U152" s="31" t="n">
        <v>200</v>
      </c>
      <c r="V152" s="31">
        <f>R152*S152-P152</f>
        <v/>
      </c>
      <c r="W152" s="28" t="n">
        <v>6.67</v>
      </c>
      <c r="X152" s="28">
        <f>ROUND(V152/MAX(Q152,1),2)</f>
        <v/>
      </c>
      <c r="Y152" s="28" t="n">
        <v>0.5</v>
      </c>
      <c r="Z152" s="28">
        <f>IF(P152&gt;0,ROUND(V152/P152,2),"")</f>
        <v/>
      </c>
      <c r="AA152" s="28" t="n">
        <v>1.667</v>
      </c>
      <c r="AB152" s="28">
        <f>ROUND(T152/MAX(Q152,1),3)</f>
        <v/>
      </c>
      <c r="AC152" s="32" t="inlineStr">
        <is>
          <t>—</t>
        </is>
      </c>
      <c r="AD152" s="32" t="inlineStr">
        <is>
          <t>$30 per serving is above anything in your EN game (max $16), so no EN dish is comparable; held for your call</t>
        </is>
      </c>
      <c r="AE152" s="32" t="inlineStr"/>
      <c r="AF152" s="32" t="inlineStr"/>
      <c r="AG152" s="32" t="inlineStr">
        <is>
          <t>No comparable EN dish; Quick-cash dish already (6.7 $/min); Event dish: offline unlock undecided (START_HERE §8)</t>
        </is>
      </c>
      <c r="AH152" s="28" t="inlineStr"/>
      <c r="AI152" s="28" t="inlineStr"/>
      <c r="AJ152" s="28" t="inlineStr"/>
      <c r="AK152" s="28" t="inlineStr">
        <is>
          <t>ドクロの多種族食べ比べ</t>
        </is>
      </c>
    </row>
    <row r="153">
      <c r="A153" s="28" t="n">
        <v>150</v>
      </c>
      <c r="B153" s="28" t="inlineStr">
        <is>
          <t>Almond Jelly Pearls</t>
        </is>
      </c>
      <c r="C153" s="28" t="n">
        <v>13</v>
      </c>
      <c r="D153" s="28" t="inlineStr">
        <is>
          <t>Event recipe</t>
        </is>
      </c>
      <c r="E153" s="28" t="inlineStr">
        <is>
          <t>JP-only</t>
        </is>
      </c>
      <c r="F153" s="28" t="inlineStr"/>
      <c r="G153" s="35" t="inlineStr">
        <is>
          <t>EN pattern: hold</t>
        </is>
      </c>
      <c r="H153" s="30">
        <f>IF(W153&gt;0,X153/W153-1,"")</f>
        <v/>
      </c>
      <c r="I153" s="28" t="inlineStr"/>
      <c r="J153" s="28" t="inlineStr"/>
      <c r="K153" s="31" t="n">
        <v>512</v>
      </c>
      <c r="L153" s="28" t="n">
        <v>256</v>
      </c>
      <c r="M153" s="31" t="n">
        <v>128</v>
      </c>
      <c r="N153" s="28" t="n">
        <v>7</v>
      </c>
      <c r="O153" s="28" t="n">
        <v>99</v>
      </c>
      <c r="P153" s="31" t="n">
        <v>512</v>
      </c>
      <c r="Q153" s="28" t="n">
        <v>256</v>
      </c>
      <c r="R153" s="31" t="n">
        <v>128</v>
      </c>
      <c r="S153" s="28" t="n">
        <v>7</v>
      </c>
      <c r="T153" s="28" t="n">
        <v>99</v>
      </c>
      <c r="U153" s="31" t="n">
        <v>384</v>
      </c>
      <c r="V153" s="31">
        <f>R153*S153-P153</f>
        <v/>
      </c>
      <c r="W153" s="28" t="n">
        <v>1.5</v>
      </c>
      <c r="X153" s="28">
        <f>ROUND(V153/MAX(Q153,1),2)</f>
        <v/>
      </c>
      <c r="Y153" s="28" t="n">
        <v>0.75</v>
      </c>
      <c r="Z153" s="28">
        <f>IF(P153&gt;0,ROUND(V153/P153,2),"")</f>
        <v/>
      </c>
      <c r="AA153" s="28" t="n">
        <v>0.387</v>
      </c>
      <c r="AB153" s="28">
        <f>ROUND(T153/MAX(Q153,1),3)</f>
        <v/>
      </c>
      <c r="AC153" s="32" t="inlineStr">
        <is>
          <t>—</t>
        </is>
      </c>
      <c r="AD153" s="32" t="inlineStr">
        <is>
          <t>Treated like Faux Noodles, the middle of the 5 most similar EN dishes: you changed it cost -64%, servings +17% (profit ×2.07)</t>
        </is>
      </c>
      <c r="AE153" s="32" t="inlineStr">
        <is>
          <t>Faux Noodles (EN Lv11: cost -64%, servings +17%)</t>
        </is>
      </c>
      <c r="AF153" s="32" t="inlineStr">
        <is>
          <t>Muscles Sprouts, Ox Tail, Faux Noodles, Cremated Brulee, Ape-a-Teaser</t>
        </is>
      </c>
      <c r="AG153" s="32" t="inlineStr">
        <is>
          <t>Flavour/bulk number kept; gain moved to another number; Partial: caps stop it reaching the EN gain; Event dish: offline unlock undecided (START_HERE §8)</t>
        </is>
      </c>
      <c r="AH153" s="28" t="inlineStr"/>
      <c r="AI153" s="28" t="inlineStr"/>
      <c r="AJ153" s="28" t="inlineStr"/>
      <c r="AK153" s="28" t="inlineStr">
        <is>
          <t>杏仁パール</t>
        </is>
      </c>
    </row>
    <row r="154">
      <c r="A154" s="28" t="n">
        <v>151</v>
      </c>
      <c r="B154" s="28" t="inlineStr">
        <is>
          <t>Red Dragon Head Stew</t>
        </is>
      </c>
      <c r="C154" s="28" t="n">
        <v>29</v>
      </c>
      <c r="D154" s="28" t="inlineStr">
        <is>
          <t>Event recipe</t>
        </is>
      </c>
      <c r="E154" s="28" t="inlineStr">
        <is>
          <t>JP-only</t>
        </is>
      </c>
      <c r="F154" s="28" t="inlineStr"/>
      <c r="G154" s="35" t="inlineStr">
        <is>
          <t>EN pattern: hold</t>
        </is>
      </c>
      <c r="H154" s="30">
        <f>IF(W154&gt;0,X154/W154-1,"")</f>
        <v/>
      </c>
      <c r="I154" s="28" t="inlineStr"/>
      <c r="J154" s="28" t="inlineStr"/>
      <c r="K154" s="31" t="n">
        <v>1500</v>
      </c>
      <c r="L154" s="28" t="n">
        <v>900</v>
      </c>
      <c r="M154" s="31" t="n">
        <v>600</v>
      </c>
      <c r="N154" s="28" t="n">
        <v>6</v>
      </c>
      <c r="O154" s="28" t="n">
        <v>220</v>
      </c>
      <c r="P154" s="31" t="n">
        <v>1500</v>
      </c>
      <c r="Q154" s="28" t="n">
        <v>900</v>
      </c>
      <c r="R154" s="31" t="n">
        <v>600</v>
      </c>
      <c r="S154" s="28" t="n">
        <v>6</v>
      </c>
      <c r="T154" s="28" t="n">
        <v>220</v>
      </c>
      <c r="U154" s="31" t="n">
        <v>2100</v>
      </c>
      <c r="V154" s="31">
        <f>R154*S154-P154</f>
        <v/>
      </c>
      <c r="W154" s="28" t="n">
        <v>2.33</v>
      </c>
      <c r="X154" s="28">
        <f>ROUND(V154/MAX(Q154,1),2)</f>
        <v/>
      </c>
      <c r="Y154" s="28" t="n">
        <v>1.4</v>
      </c>
      <c r="Z154" s="28">
        <f>IF(P154&gt;0,ROUND(V154/P154,2),"")</f>
        <v/>
      </c>
      <c r="AA154" s="28" t="n">
        <v>0.244</v>
      </c>
      <c r="AB154" s="28">
        <f>ROUND(T154/MAX(Q154,1),3)</f>
        <v/>
      </c>
      <c r="AC154" s="32" t="inlineStr">
        <is>
          <t>—</t>
        </is>
      </c>
      <c r="AD154" s="32" t="inlineStr">
        <is>
          <t>Treated like Nuke Fondue, the middle of the 5 most similar EN dishes: you left it unchanged</t>
        </is>
      </c>
      <c r="AE154" s="32" t="inlineStr">
        <is>
          <t>Nuke Fondue (EN Lv14: unchanged)</t>
        </is>
      </c>
      <c r="AF154" s="32" t="inlineStr">
        <is>
          <t>Quasar Coffee, Puking Duck, Jumble Eye-ah, Head Cheese Pizza, Nuke Fondue</t>
        </is>
      </c>
      <c r="AG154" s="32" t="inlineStr">
        <is>
          <t>Event dish: offline unlock undecided (START_HERE §8)</t>
        </is>
      </c>
      <c r="AH154" s="28" t="inlineStr"/>
      <c r="AI154" s="28" t="inlineStr"/>
      <c r="AJ154" s="28" t="inlineStr"/>
      <c r="AK154" s="28" t="inlineStr">
        <is>
          <t>赤龍のかぶと煮</t>
        </is>
      </c>
    </row>
    <row r="155">
      <c r="A155" s="28" t="n">
        <v>152</v>
      </c>
      <c r="B155" s="28" t="inlineStr">
        <is>
          <t>White Bread Man</t>
        </is>
      </c>
      <c r="C155" s="28" t="n">
        <v>11</v>
      </c>
      <c r="D155" s="28" t="inlineStr">
        <is>
          <t>Event recipe</t>
        </is>
      </c>
      <c r="E155" s="28" t="inlineStr">
        <is>
          <t>JP-only</t>
        </is>
      </c>
      <c r="F155" s="28" t="inlineStr"/>
      <c r="G155" s="34" t="inlineStr">
        <is>
          <t>EN pattern: buff</t>
        </is>
      </c>
      <c r="H155" s="30">
        <f>IF(W155&gt;0,X155/W155-1,"")</f>
        <v/>
      </c>
      <c r="I155" s="28" t="inlineStr"/>
      <c r="J155" s="28" t="inlineStr"/>
      <c r="K155" s="31" t="n">
        <v>600</v>
      </c>
      <c r="L155" s="28" t="n">
        <v>120</v>
      </c>
      <c r="M155" s="31" t="n">
        <v>314</v>
      </c>
      <c r="N155" s="28" t="n">
        <v>3</v>
      </c>
      <c r="O155" s="28" t="n">
        <v>80</v>
      </c>
      <c r="P155" s="31" t="n">
        <v>550</v>
      </c>
      <c r="Q155" s="28" t="n">
        <v>120</v>
      </c>
      <c r="R155" s="31" t="n">
        <v>314</v>
      </c>
      <c r="S155" s="28" t="n">
        <v>3</v>
      </c>
      <c r="T155" s="28" t="n">
        <v>80</v>
      </c>
      <c r="U155" s="31" t="n">
        <v>342</v>
      </c>
      <c r="V155" s="31">
        <f>R155*S155-P155</f>
        <v/>
      </c>
      <c r="W155" s="28" t="n">
        <v>2.85</v>
      </c>
      <c r="X155" s="28">
        <f>ROUND(V155/MAX(Q155,1),2)</f>
        <v/>
      </c>
      <c r="Y155" s="28" t="n">
        <v>0.57</v>
      </c>
      <c r="Z155" s="28">
        <f>IF(P155&gt;0,ROUND(V155/P155,2),"")</f>
        <v/>
      </c>
      <c r="AA155" s="28" t="n">
        <v>0.667</v>
      </c>
      <c r="AB155" s="28">
        <f>ROUND(T155/MAX(Q155,1),3)</f>
        <v/>
      </c>
      <c r="AC155" s="32" t="inlineStr">
        <is>
          <t>Cost 600-&gt;550 (-8%)</t>
        </is>
      </c>
      <c r="AD155" s="32" t="inlineStr">
        <is>
          <t>Treated like Army Rations, the middle of the 5 most similar EN dishes: you changed it servings +5% (profit ×1.15)</t>
        </is>
      </c>
      <c r="AE155" s="32" t="inlineStr">
        <is>
          <t>Army Rations (EN Lv8: servings +5%)</t>
        </is>
      </c>
      <c r="AF155" s="32" t="inlineStr">
        <is>
          <t>Ground Chuck, Meat Lover Pizza, Tofu Brain, Roast Turk-key, Army Rations</t>
        </is>
      </c>
      <c r="AG155" s="32" t="inlineStr">
        <is>
          <t>Flavour/bulk number kept; gain moved to another number; Event dish: offline unlock undecided (START_HERE §8)</t>
        </is>
      </c>
      <c r="AH155" s="28" t="inlineStr"/>
      <c r="AI155" s="28" t="inlineStr"/>
      <c r="AJ155" s="28" t="inlineStr"/>
      <c r="AK155" s="28" t="inlineStr">
        <is>
          <t>ホワイトブレッドマン</t>
        </is>
      </c>
    </row>
    <row r="156">
      <c r="A156" s="28" t="n">
        <v>153</v>
      </c>
      <c r="B156" s="28" t="inlineStr">
        <is>
          <t>Red God Chili Pepper</t>
        </is>
      </c>
      <c r="C156" s="28" t="n">
        <v>10</v>
      </c>
      <c r="D156" s="28" t="inlineStr">
        <is>
          <t>Event recipe</t>
        </is>
      </c>
      <c r="E156" s="28" t="inlineStr">
        <is>
          <t>JP-only</t>
        </is>
      </c>
      <c r="F156" s="28" t="inlineStr"/>
      <c r="G156" s="34" t="inlineStr">
        <is>
          <t>EN pattern: buff</t>
        </is>
      </c>
      <c r="H156" s="30">
        <f>IF(W156&gt;0,X156/W156-1,"")</f>
        <v/>
      </c>
      <c r="I156" s="28" t="inlineStr"/>
      <c r="J156" s="28" t="inlineStr"/>
      <c r="K156" s="31" t="n">
        <v>350</v>
      </c>
      <c r="L156" s="28" t="n">
        <v>150</v>
      </c>
      <c r="M156" s="31" t="n">
        <v>200</v>
      </c>
      <c r="N156" s="28" t="n">
        <v>4</v>
      </c>
      <c r="O156" s="28" t="n">
        <v>45</v>
      </c>
      <c r="P156" s="31" t="n">
        <v>230</v>
      </c>
      <c r="Q156" s="28" t="n">
        <v>150</v>
      </c>
      <c r="R156" s="31" t="n">
        <v>215</v>
      </c>
      <c r="S156" s="28" t="n">
        <v>4</v>
      </c>
      <c r="T156" s="28" t="n">
        <v>45</v>
      </c>
      <c r="U156" s="31" t="n">
        <v>450</v>
      </c>
      <c r="V156" s="31">
        <f>R156*S156-P156</f>
        <v/>
      </c>
      <c r="W156" s="28" t="n">
        <v>3</v>
      </c>
      <c r="X156" s="28">
        <f>ROUND(V156/MAX(Q156,1),2)</f>
        <v/>
      </c>
      <c r="Y156" s="28" t="n">
        <v>1.29</v>
      </c>
      <c r="Z156" s="28">
        <f>IF(P156&gt;0,ROUND(V156/P156,2),"")</f>
        <v/>
      </c>
      <c r="AA156" s="28" t="n">
        <v>0.3</v>
      </c>
      <c r="AB156" s="28">
        <f>ROUND(T156/MAX(Q156,1),3)</f>
        <v/>
      </c>
      <c r="AC156" s="32" t="inlineStr">
        <is>
          <t>Cost 350-&gt;230 (-34%); Servings 200-&gt;215 (+8%)</t>
        </is>
      </c>
      <c r="AD156" s="32" t="inlineStr">
        <is>
          <t>Treated like Roast Turk-key, the middle of the 5 most similar EN dishes: you changed it cost -33%, servings +8% (profit ×1.49)</t>
        </is>
      </c>
      <c r="AE156" s="32" t="inlineStr">
        <is>
          <t>Roast Turk-key (EN Lv12: cost -33%, servings +8%)</t>
        </is>
      </c>
      <c r="AF156" s="32" t="inlineStr">
        <is>
          <t>Torn-Up-Cake, Haggis, Leech Melba, Roast Turk-key, Street Pizza</t>
        </is>
      </c>
      <c r="AG156" s="32" t="inlineStr">
        <is>
          <t>Event dish: offline unlock undecided (START_HERE §8)</t>
        </is>
      </c>
      <c r="AH156" s="28" t="inlineStr"/>
      <c r="AI156" s="28" t="inlineStr"/>
      <c r="AJ156" s="28" t="inlineStr"/>
      <c r="AK156" s="28" t="inlineStr">
        <is>
          <t>レッドゴッドチリペッパー</t>
        </is>
      </c>
    </row>
    <row r="157">
      <c r="A157" s="28" t="n">
        <v>154</v>
      </c>
      <c r="B157" s="28" t="inlineStr">
        <is>
          <t>Tartenon Berries</t>
        </is>
      </c>
      <c r="C157" s="28" t="n">
        <v>27</v>
      </c>
      <c r="D157" s="28" t="inlineStr">
        <is>
          <t>Event recipe</t>
        </is>
      </c>
      <c r="E157" s="28" t="inlineStr">
        <is>
          <t>JP-only</t>
        </is>
      </c>
      <c r="F157" s="28" t="inlineStr"/>
      <c r="G157" s="35" t="inlineStr">
        <is>
          <t>EN pattern: hold</t>
        </is>
      </c>
      <c r="H157" s="30">
        <f>IF(W157&gt;0,X157/W157-1,"")</f>
        <v/>
      </c>
      <c r="I157" s="28" t="inlineStr"/>
      <c r="J157" s="28" t="inlineStr"/>
      <c r="K157" s="31" t="n">
        <v>2000</v>
      </c>
      <c r="L157" s="28" t="n">
        <v>1200</v>
      </c>
      <c r="M157" s="31" t="n">
        <v>650</v>
      </c>
      <c r="N157" s="28" t="n">
        <v>6</v>
      </c>
      <c r="O157" s="28" t="n">
        <v>180</v>
      </c>
      <c r="P157" s="31" t="n">
        <v>2000</v>
      </c>
      <c r="Q157" s="28" t="n">
        <v>1200</v>
      </c>
      <c r="R157" s="31" t="n">
        <v>650</v>
      </c>
      <c r="S157" s="28" t="n">
        <v>6</v>
      </c>
      <c r="T157" s="28" t="n">
        <v>180</v>
      </c>
      <c r="U157" s="31" t="n">
        <v>1900</v>
      </c>
      <c r="V157" s="31">
        <f>R157*S157-P157</f>
        <v/>
      </c>
      <c r="W157" s="28" t="n">
        <v>1.58</v>
      </c>
      <c r="X157" s="28">
        <f>ROUND(V157/MAX(Q157,1),2)</f>
        <v/>
      </c>
      <c r="Y157" s="28" t="n">
        <v>0.95</v>
      </c>
      <c r="Z157" s="28">
        <f>IF(P157&gt;0,ROUND(V157/P157,2),"")</f>
        <v/>
      </c>
      <c r="AA157" s="28" t="n">
        <v>0.15</v>
      </c>
      <c r="AB157" s="28">
        <f>ROUND(T157/MAX(Q157,1),3)</f>
        <v/>
      </c>
      <c r="AC157" s="32" t="inlineStr">
        <is>
          <t>—</t>
        </is>
      </c>
      <c r="AD157" s="32" t="inlineStr">
        <is>
          <t>Treated like Thorn Bread, the middle of the 5 most similar EN dishes: you left it unchanged</t>
        </is>
      </c>
      <c r="AE157" s="32" t="inlineStr">
        <is>
          <t>Thorn Bread (EN Lv33: unchanged)</t>
        </is>
      </c>
      <c r="AF157" s="32" t="inlineStr">
        <is>
          <t>Head Cheese Pizza, Deep Fried Bacon Wrapped Pizza, String (Theory) Cheese, Thorn Bread, Quasar Coffee</t>
        </is>
      </c>
      <c r="AG157" s="32" t="inlineStr">
        <is>
          <t>Event dish: offline unlock undecided (START_HERE §8)</t>
        </is>
      </c>
      <c r="AH157" s="28" t="inlineStr"/>
      <c r="AI157" s="28" t="inlineStr"/>
      <c r="AJ157" s="28" t="inlineStr"/>
      <c r="AK157" s="28" t="inlineStr">
        <is>
          <t>タルテノンベリーズ</t>
        </is>
      </c>
    </row>
    <row r="158">
      <c r="A158" s="28" t="n">
        <v>155</v>
      </c>
      <c r="B158" s="28" t="inlineStr">
        <is>
          <t>Zombie Sneeze Pizza</t>
        </is>
      </c>
      <c r="C158" s="28" t="n">
        <v>59</v>
      </c>
      <c r="D158" s="28" t="inlineStr">
        <is>
          <t>Level track</t>
        </is>
      </c>
      <c r="E158" s="28" t="inlineStr">
        <is>
          <t>JP-only</t>
        </is>
      </c>
      <c r="F158" s="28" t="inlineStr"/>
      <c r="G158" s="34" t="inlineStr">
        <is>
          <t>EN pattern: buff</t>
        </is>
      </c>
      <c r="H158" s="30">
        <f>IF(W158&gt;0,X158/W158-1,"")</f>
        <v/>
      </c>
      <c r="I158" s="28" t="inlineStr"/>
      <c r="J158" s="28" t="inlineStr"/>
      <c r="K158" s="31" t="n">
        <v>600</v>
      </c>
      <c r="L158" s="28" t="n">
        <v>250</v>
      </c>
      <c r="M158" s="31" t="n">
        <v>220</v>
      </c>
      <c r="N158" s="28" t="n">
        <v>6</v>
      </c>
      <c r="O158" s="28" t="n">
        <v>46</v>
      </c>
      <c r="P158" s="31" t="n">
        <v>350</v>
      </c>
      <c r="Q158" s="28" t="n">
        <v>250</v>
      </c>
      <c r="R158" s="31" t="n">
        <v>240</v>
      </c>
      <c r="S158" s="28" t="n">
        <v>6</v>
      </c>
      <c r="T158" s="28" t="n">
        <v>46</v>
      </c>
      <c r="U158" s="31" t="n">
        <v>720</v>
      </c>
      <c r="V158" s="31">
        <f>R158*S158-P158</f>
        <v/>
      </c>
      <c r="W158" s="28" t="n">
        <v>2.88</v>
      </c>
      <c r="X158" s="28">
        <f>ROUND(V158/MAX(Q158,1),2)</f>
        <v/>
      </c>
      <c r="Y158" s="28" t="n">
        <v>1.2</v>
      </c>
      <c r="Z158" s="28">
        <f>IF(P158&gt;0,ROUND(V158/P158,2),"")</f>
        <v/>
      </c>
      <c r="AA158" s="28" t="n">
        <v>0.184</v>
      </c>
      <c r="AB158" s="28">
        <f>ROUND(T158/MAX(Q158,1),3)</f>
        <v/>
      </c>
      <c r="AC158" s="32" t="inlineStr">
        <is>
          <t>Cost 600-&gt;350 (-42%); Servings 220-&gt;240 (+9%)</t>
        </is>
      </c>
      <c r="AD158" s="32" t="inlineStr">
        <is>
          <t>Treated like Ew-Nagi, the middle of the 5 most similar EN dishes: you changed it cost -41%, servings +9% (profit ×1.48)</t>
        </is>
      </c>
      <c r="AE158" s="32" t="inlineStr">
        <is>
          <t>Ew-Nagi (EN Lv51: cost -41%, servings +9%)</t>
        </is>
      </c>
      <c r="AF158" s="32" t="inlineStr">
        <is>
          <t>Ew-Nagi, Rancid Pulled Pork, Bento Brain Box, Crucy Fries, Garden Gnome Salad</t>
        </is>
      </c>
      <c r="AG158" s="32" t="inlineStr"/>
      <c r="AH158" s="28" t="inlineStr"/>
      <c r="AI158" s="28" t="inlineStr"/>
      <c r="AJ158" s="28" t="inlineStr"/>
      <c r="AK158" s="28" t="inlineStr">
        <is>
          <t>ゾンビのくしゃみピザ</t>
        </is>
      </c>
    </row>
    <row r="159">
      <c r="A159" s="28" t="n">
        <v>156</v>
      </c>
      <c r="B159" s="28" t="inlineStr">
        <is>
          <t>Stuffed Bat</t>
        </is>
      </c>
      <c r="C159" s="28" t="n">
        <v>12</v>
      </c>
      <c r="D159" s="28" t="inlineStr">
        <is>
          <t>Event recipe</t>
        </is>
      </c>
      <c r="E159" s="28" t="inlineStr">
        <is>
          <t>JP-only</t>
        </is>
      </c>
      <c r="F159" s="28" t="inlineStr"/>
      <c r="G159" s="34" t="inlineStr">
        <is>
          <t>EN pattern: buff</t>
        </is>
      </c>
      <c r="H159" s="30">
        <f>IF(W159&gt;0,X159/W159-1,"")</f>
        <v/>
      </c>
      <c r="I159" s="28" t="inlineStr"/>
      <c r="J159" s="28" t="inlineStr"/>
      <c r="K159" s="31" t="n">
        <v>340</v>
      </c>
      <c r="L159" s="28" t="n">
        <v>10</v>
      </c>
      <c r="M159" s="31" t="n">
        <v>100</v>
      </c>
      <c r="N159" s="28" t="n">
        <v>4</v>
      </c>
      <c r="O159" s="28" t="n">
        <v>12</v>
      </c>
      <c r="P159" s="31" t="n">
        <v>145</v>
      </c>
      <c r="Q159" s="28" t="n">
        <v>10</v>
      </c>
      <c r="R159" s="31" t="n">
        <v>100</v>
      </c>
      <c r="S159" s="28" t="n">
        <v>4</v>
      </c>
      <c r="T159" s="28" t="n">
        <v>12</v>
      </c>
      <c r="U159" s="31" t="n">
        <v>60</v>
      </c>
      <c r="V159" s="31">
        <f>R159*S159-P159</f>
        <v/>
      </c>
      <c r="W159" s="28" t="n">
        <v>6</v>
      </c>
      <c r="X159" s="28">
        <f>ROUND(V159/MAX(Q159,1),2)</f>
        <v/>
      </c>
      <c r="Y159" s="28" t="n">
        <v>0.18</v>
      </c>
      <c r="Z159" s="28">
        <f>IF(P159&gt;0,ROUND(V159/P159,2),"")</f>
        <v/>
      </c>
      <c r="AA159" s="28" t="n">
        <v>1.2</v>
      </c>
      <c r="AB159" s="28">
        <f>ROUND(T159/MAX(Q159,1),3)</f>
        <v/>
      </c>
      <c r="AC159" s="32" t="inlineStr">
        <is>
          <t>Cost 340-&gt;145 (-57%)</t>
        </is>
      </c>
      <c r="AD159" s="32" t="inlineStr">
        <is>
          <t>Treated like Dishwater Soup, the middle of the 5 most similar EN dishes: you changed it cost -56% (profit ×3.80)</t>
        </is>
      </c>
      <c r="AE159" s="32" t="inlineStr">
        <is>
          <t>Dishwater Soup (EN Lv2: cost -56%)</t>
        </is>
      </c>
      <c r="AF159" s="32" t="inlineStr">
        <is>
          <t>Dishwater Soup, Wonton Goop, Green-plate Special, Entrail-ladas, Head Cheesesteak</t>
        </is>
      </c>
      <c r="AG159" s="32" t="inlineStr">
        <is>
          <t>Loose match: no EN dish is very close; Quick-cash dish already (6.0 $/min); Event dish: offline unlock undecided (START_HERE §8)</t>
        </is>
      </c>
      <c r="AH159" s="28" t="inlineStr"/>
      <c r="AI159" s="28" t="inlineStr"/>
      <c r="AJ159" s="28" t="inlineStr"/>
      <c r="AK159" s="28" t="inlineStr">
        <is>
          <t>コウモリの肉づめ</t>
        </is>
      </c>
    </row>
    <row r="160">
      <c r="A160" s="28" t="n">
        <v>157</v>
      </c>
      <c r="B160" s="28" t="inlineStr">
        <is>
          <t>Jambala-EYE</t>
        </is>
      </c>
      <c r="C160" s="28" t="n">
        <v>20</v>
      </c>
      <c r="D160" s="28" t="inlineStr">
        <is>
          <t>Event recipe</t>
        </is>
      </c>
      <c r="E160" s="28" t="inlineStr">
        <is>
          <t>JP-only</t>
        </is>
      </c>
      <c r="F160" s="28" t="inlineStr"/>
      <c r="G160" s="34" t="inlineStr">
        <is>
          <t>EN pattern: buff</t>
        </is>
      </c>
      <c r="H160" s="30">
        <f>IF(W160&gt;0,X160/W160-1,"")</f>
        <v/>
      </c>
      <c r="I160" s="28" t="inlineStr"/>
      <c r="J160" s="28" t="inlineStr"/>
      <c r="K160" s="31" t="n">
        <v>2500</v>
      </c>
      <c r="L160" s="28" t="n">
        <v>1500</v>
      </c>
      <c r="M160" s="31" t="n">
        <v>550</v>
      </c>
      <c r="N160" s="28" t="n">
        <v>6</v>
      </c>
      <c r="O160" s="28" t="n">
        <v>120</v>
      </c>
      <c r="P160" s="31" t="n">
        <v>1725</v>
      </c>
      <c r="Q160" s="28" t="n">
        <v>1500</v>
      </c>
      <c r="R160" s="31" t="n">
        <v>430</v>
      </c>
      <c r="S160" s="28" t="n">
        <v>6</v>
      </c>
      <c r="T160" s="28" t="n">
        <v>120</v>
      </c>
      <c r="U160" s="31" t="n">
        <v>800</v>
      </c>
      <c r="V160" s="31">
        <f>R160*S160-P160</f>
        <v/>
      </c>
      <c r="W160" s="28" t="n">
        <v>0.53</v>
      </c>
      <c r="X160" s="28">
        <f>ROUND(V160/MAX(Q160,1),2)</f>
        <v/>
      </c>
      <c r="Y160" s="28" t="n">
        <v>0.32</v>
      </c>
      <c r="Z160" s="28">
        <f>IF(P160&gt;0,ROUND(V160/P160,2),"")</f>
        <v/>
      </c>
      <c r="AA160" s="28" t="n">
        <v>0.08</v>
      </c>
      <c r="AB160" s="28">
        <f>ROUND(T160/MAX(Q160,1),3)</f>
        <v/>
      </c>
      <c r="AC160" s="32" t="inlineStr">
        <is>
          <t>Cost 2,500-&gt;1,725 (-31%); Servings 550-&gt;430 (-22%)</t>
        </is>
      </c>
      <c r="AD160" s="32" t="inlineStr">
        <is>
          <t>Treated like Bleeding Hearts, the middle of the 5 most similar EN dishes: you changed it cost -31%, servings -22% (profit ×1.00)</t>
        </is>
      </c>
      <c r="AE160" s="32" t="inlineStr">
        <is>
          <t>Bleeding Hearts (EN Lv32: cost -31%, servings -22%)</t>
        </is>
      </c>
      <c r="AF160" s="32" t="inlineStr">
        <is>
          <t>Thumb Pudding, Bul-goo-gi, Mourned Beef and Cabbage, Bleeding Hearts, Blood Pudding</t>
        </is>
      </c>
      <c r="AG160" s="32" t="inlineStr">
        <is>
          <t>Event dish: offline unlock undecided (START_HERE §8)</t>
        </is>
      </c>
      <c r="AH160" s="28" t="inlineStr"/>
      <c r="AI160" s="28" t="inlineStr"/>
      <c r="AJ160" s="28" t="inlineStr"/>
      <c r="AK160" s="28" t="inlineStr">
        <is>
          <t>ジャンバラEYE</t>
        </is>
      </c>
    </row>
    <row r="161">
      <c r="A161" s="28" t="n">
        <v>158</v>
      </c>
      <c r="B161" s="28" t="inlineStr">
        <is>
          <t>Ice Calavera</t>
        </is>
      </c>
      <c r="C161" s="28" t="n">
        <v>9</v>
      </c>
      <c r="D161" s="28" t="inlineStr">
        <is>
          <t>Event recipe</t>
        </is>
      </c>
      <c r="E161" s="28" t="inlineStr">
        <is>
          <t>JP-only</t>
        </is>
      </c>
      <c r="F161" s="28" t="inlineStr"/>
      <c r="G161" s="35" t="inlineStr">
        <is>
          <t>EN pattern: hold</t>
        </is>
      </c>
      <c r="H161" s="30">
        <f>IF(W161&gt;0,X161/W161-1,"")</f>
        <v/>
      </c>
      <c r="I161" s="28" t="inlineStr"/>
      <c r="J161" s="28" t="inlineStr"/>
      <c r="K161" s="31" t="n">
        <v>250</v>
      </c>
      <c r="L161" s="28" t="n">
        <v>30</v>
      </c>
      <c r="M161" s="31" t="n">
        <v>120</v>
      </c>
      <c r="N161" s="28" t="n">
        <v>4</v>
      </c>
      <c r="O161" s="28" t="n">
        <v>15</v>
      </c>
      <c r="P161" s="31" t="n">
        <v>250</v>
      </c>
      <c r="Q161" s="28" t="n">
        <v>30</v>
      </c>
      <c r="R161" s="31" t="n">
        <v>120</v>
      </c>
      <c r="S161" s="28" t="n">
        <v>4</v>
      </c>
      <c r="T161" s="28" t="n">
        <v>15</v>
      </c>
      <c r="U161" s="31" t="n">
        <v>230</v>
      </c>
      <c r="V161" s="31">
        <f>R161*S161-P161</f>
        <v/>
      </c>
      <c r="W161" s="28" t="n">
        <v>7.67</v>
      </c>
      <c r="X161" s="28">
        <f>ROUND(V161/MAX(Q161,1),2)</f>
        <v/>
      </c>
      <c r="Y161" s="28" t="n">
        <v>0.92</v>
      </c>
      <c r="Z161" s="28">
        <f>IF(P161&gt;0,ROUND(V161/P161,2),"")</f>
        <v/>
      </c>
      <c r="AA161" s="28" t="n">
        <v>0.5</v>
      </c>
      <c r="AB161" s="28">
        <f>ROUND(T161/MAX(Q161,1),3)</f>
        <v/>
      </c>
      <c r="AC161" s="32" t="inlineStr">
        <is>
          <t>—</t>
        </is>
      </c>
      <c r="AD161" s="32" t="inlineStr">
        <is>
          <t>Treated like Brain Washer Soup, the middle of the 5 most similar EN dishes: you left it unchanged</t>
        </is>
      </c>
      <c r="AE161" s="32" t="inlineStr">
        <is>
          <t>Brain Washer Soup (EN Lv14: unchanged)</t>
        </is>
      </c>
      <c r="AF161" s="32" t="inlineStr">
        <is>
          <t>Caramel Adam's Apple, Sandwitch, Army Rations, Brain Washer Soup, Rot Dogs</t>
        </is>
      </c>
      <c r="AG161" s="32" t="inlineStr">
        <is>
          <t>Loose match: no EN dish is very close; Quick-cash dish already (7.7 $/min); Event dish: offline unlock undecided (START_HERE §8)</t>
        </is>
      </c>
      <c r="AH161" s="28" t="inlineStr"/>
      <c r="AI161" s="28" t="inlineStr"/>
      <c r="AJ161" s="28" t="inlineStr"/>
      <c r="AK161" s="28" t="inlineStr">
        <is>
          <t>アイスカラーべ</t>
        </is>
      </c>
    </row>
    <row r="162">
      <c r="A162" s="28" t="n">
        <v>159</v>
      </c>
      <c r="B162" s="28" t="inlineStr">
        <is>
          <t>Meat with Beetroot</t>
        </is>
      </c>
      <c r="C162" s="28" t="n">
        <v>16</v>
      </c>
      <c r="D162" s="28" t="inlineStr">
        <is>
          <t>Event recipe</t>
        </is>
      </c>
      <c r="E162" s="28" t="inlineStr">
        <is>
          <t>JP-only</t>
        </is>
      </c>
      <c r="F162" s="28" t="inlineStr"/>
      <c r="G162" s="35" t="inlineStr">
        <is>
          <t>EN pattern: hold</t>
        </is>
      </c>
      <c r="H162" s="30">
        <f>IF(W162&gt;0,X162/W162-1,"")</f>
        <v/>
      </c>
      <c r="I162" s="28" t="inlineStr"/>
      <c r="J162" s="28" t="inlineStr"/>
      <c r="K162" s="31" t="n">
        <v>1000</v>
      </c>
      <c r="L162" s="28" t="n">
        <v>530</v>
      </c>
      <c r="M162" s="31" t="n">
        <v>450</v>
      </c>
      <c r="N162" s="28" t="n">
        <v>4</v>
      </c>
      <c r="O162" s="28" t="n">
        <v>105</v>
      </c>
      <c r="P162" s="31" t="n">
        <v>1000</v>
      </c>
      <c r="Q162" s="28" t="n">
        <v>530</v>
      </c>
      <c r="R162" s="31" t="n">
        <v>450</v>
      </c>
      <c r="S162" s="28" t="n">
        <v>4</v>
      </c>
      <c r="T162" s="28" t="n">
        <v>105</v>
      </c>
      <c r="U162" s="31" t="n">
        <v>800</v>
      </c>
      <c r="V162" s="31">
        <f>R162*S162-P162</f>
        <v/>
      </c>
      <c r="W162" s="28" t="n">
        <v>1.51</v>
      </c>
      <c r="X162" s="28">
        <f>ROUND(V162/MAX(Q162,1),2)</f>
        <v/>
      </c>
      <c r="Y162" s="28" t="n">
        <v>0.8</v>
      </c>
      <c r="Z162" s="28">
        <f>IF(P162&gt;0,ROUND(V162/P162,2),"")</f>
        <v/>
      </c>
      <c r="AA162" s="28" t="n">
        <v>0.198</v>
      </c>
      <c r="AB162" s="28">
        <f>ROUND(T162/MAX(Q162,1),3)</f>
        <v/>
      </c>
      <c r="AC162" s="32" t="inlineStr">
        <is>
          <t>—</t>
        </is>
      </c>
      <c r="AD162" s="32" t="inlineStr">
        <is>
          <t>Treated like Rabid Rabbit, the middle of the 5 most similar EN dishes: you left it unchanged</t>
        </is>
      </c>
      <c r="AE162" s="32" t="inlineStr">
        <is>
          <t>Rabid Rabbit (EN Lv17: unchanged)</t>
        </is>
      </c>
      <c r="AF162" s="32" t="inlineStr">
        <is>
          <t>Fried Snakeroll, Jumble Eye-ah, Rabid Rabbit, Knuckle Sandwich, Foie Gross</t>
        </is>
      </c>
      <c r="AG162" s="32" t="inlineStr">
        <is>
          <t>Event dish: offline unlock undecided (START_HERE §8)</t>
        </is>
      </c>
      <c r="AH162" s="28" t="inlineStr"/>
      <c r="AI162" s="28" t="inlineStr"/>
      <c r="AJ162" s="28" t="inlineStr"/>
      <c r="AK162" s="28" t="inlineStr">
        <is>
          <t>肉のビートルート添え</t>
        </is>
      </c>
    </row>
    <row r="163">
      <c r="A163" s="28" t="n">
        <v>160</v>
      </c>
      <c r="B163" s="28" t="inlineStr">
        <is>
          <t>Tutankhamun Dessert</t>
        </is>
      </c>
      <c r="C163" s="28" t="n">
        <v>60</v>
      </c>
      <c r="D163" s="28" t="inlineStr">
        <is>
          <t>Level track</t>
        </is>
      </c>
      <c r="E163" s="28" t="inlineStr">
        <is>
          <t>JP-only</t>
        </is>
      </c>
      <c r="F163" s="28" t="inlineStr"/>
      <c r="G163" s="35" t="inlineStr">
        <is>
          <t>EN pattern: hold</t>
        </is>
      </c>
      <c r="H163" s="30">
        <f>IF(W163&gt;0,X163/W163-1,"")</f>
        <v/>
      </c>
      <c r="I163" s="28" t="inlineStr"/>
      <c r="J163" s="28" t="inlineStr"/>
      <c r="K163" s="31" t="n">
        <v>1200</v>
      </c>
      <c r="L163" s="28" t="n">
        <v>1200</v>
      </c>
      <c r="M163" s="31" t="n">
        <v>620</v>
      </c>
      <c r="N163" s="28" t="n">
        <v>4</v>
      </c>
      <c r="O163" s="28" t="n">
        <v>170</v>
      </c>
      <c r="P163" s="31" t="n">
        <v>1200</v>
      </c>
      <c r="Q163" s="28" t="n">
        <v>1200</v>
      </c>
      <c r="R163" s="31" t="n">
        <v>620</v>
      </c>
      <c r="S163" s="28" t="n">
        <v>4</v>
      </c>
      <c r="T163" s="28" t="n">
        <v>170</v>
      </c>
      <c r="U163" s="31" t="n">
        <v>1280</v>
      </c>
      <c r="V163" s="31">
        <f>R163*S163-P163</f>
        <v/>
      </c>
      <c r="W163" s="28" t="n">
        <v>1.07</v>
      </c>
      <c r="X163" s="28">
        <f>ROUND(V163/MAX(Q163,1),2)</f>
        <v/>
      </c>
      <c r="Y163" s="28" t="n">
        <v>1.07</v>
      </c>
      <c r="Z163" s="28">
        <f>IF(P163&gt;0,ROUND(V163/P163,2),"")</f>
        <v/>
      </c>
      <c r="AA163" s="28" t="n">
        <v>0.142</v>
      </c>
      <c r="AB163" s="28">
        <f>ROUND(T163/MAX(Q163,1),3)</f>
        <v/>
      </c>
      <c r="AC163" s="32" t="inlineStr">
        <is>
          <t>—</t>
        </is>
      </c>
      <c r="AD163" s="32" t="inlineStr">
        <is>
          <t>Treated like Spoiled Sea Food Pizza, the middle of the 5 most similar EN dishes: you left it unchanged</t>
        </is>
      </c>
      <c r="AE163" s="32" t="inlineStr">
        <is>
          <t>Spoiled Sea Food Pizza (EN Lv43: unchanged)</t>
        </is>
      </c>
      <c r="AF163" s="32" t="inlineStr">
        <is>
          <t>Sluggish Eclair, Leperoni Pizza, Meatish Sweetballs, Riga Tony, Spoiled Sea Food Pizza</t>
        </is>
      </c>
      <c r="AG163" s="32" t="inlineStr"/>
      <c r="AH163" s="28" t="inlineStr"/>
      <c r="AI163" s="28" t="inlineStr"/>
      <c r="AJ163" s="28" t="inlineStr"/>
      <c r="AK163" s="28" t="inlineStr">
        <is>
          <t>ツタンカーメンデザート</t>
        </is>
      </c>
    </row>
    <row r="164">
      <c r="A164" s="28" t="n">
        <v>161</v>
      </c>
      <c r="B164" s="28" t="inlineStr">
        <is>
          <t>Oni Chikuzen Stew</t>
        </is>
      </c>
      <c r="C164" s="28" t="n">
        <v>33</v>
      </c>
      <c r="D164" s="28" t="inlineStr">
        <is>
          <t>Event recipe</t>
        </is>
      </c>
      <c r="E164" s="28" t="inlineStr">
        <is>
          <t>JP-only</t>
        </is>
      </c>
      <c r="F164" s="28" t="inlineStr"/>
      <c r="G164" s="34" t="inlineStr">
        <is>
          <t>EN pattern: buff</t>
        </is>
      </c>
      <c r="H164" s="30">
        <f>IF(W164&gt;0,X164/W164-1,"")</f>
        <v/>
      </c>
      <c r="I164" s="28" t="inlineStr"/>
      <c r="J164" s="28" t="inlineStr"/>
      <c r="K164" s="31" t="n">
        <v>1600</v>
      </c>
      <c r="L164" s="28" t="n">
        <v>300</v>
      </c>
      <c r="M164" s="31" t="n">
        <v>300</v>
      </c>
      <c r="N164" s="28" t="n">
        <v>6</v>
      </c>
      <c r="O164" s="28" t="n">
        <v>165</v>
      </c>
      <c r="P164" s="31" t="n">
        <v>1050</v>
      </c>
      <c r="Q164" s="28" t="n">
        <v>300</v>
      </c>
      <c r="R164" s="31" t="n">
        <v>300</v>
      </c>
      <c r="S164" s="28" t="n">
        <v>6</v>
      </c>
      <c r="T164" s="28" t="n">
        <v>165</v>
      </c>
      <c r="U164" s="31" t="n">
        <v>200</v>
      </c>
      <c r="V164" s="31">
        <f>R164*S164-P164</f>
        <v/>
      </c>
      <c r="W164" s="28" t="n">
        <v>0.67</v>
      </c>
      <c r="X164" s="28">
        <f>ROUND(V164/MAX(Q164,1),2)</f>
        <v/>
      </c>
      <c r="Y164" s="28" t="n">
        <v>0.12</v>
      </c>
      <c r="Z164" s="28">
        <f>IF(P164&gt;0,ROUND(V164/P164,2),"")</f>
        <v/>
      </c>
      <c r="AA164" s="28" t="n">
        <v>0.55</v>
      </c>
      <c r="AB164" s="28">
        <f>ROUND(T164/MAX(Q164,1),3)</f>
        <v/>
      </c>
      <c r="AC164" s="32" t="inlineStr">
        <is>
          <t>Cost 1,600-&gt;1,050 (-34%)</t>
        </is>
      </c>
      <c r="AD164" s="32" t="inlineStr">
        <is>
          <t>Treated like Rotten-Apple Pie, the middle of the 5 most similar EN dishes: you changed it cost -33% (profit ×2.19)</t>
        </is>
      </c>
      <c r="AE164" s="32" t="inlineStr">
        <is>
          <t>Rotten-Apple Pie (EN Lv33: cost -33%)</t>
        </is>
      </c>
      <c r="AF164" s="32" t="inlineStr">
        <is>
          <t>Rotten-Apple Pie, Fish Fingers, Cuss-Turd Tart, Foie Gross, Toxic Trifle</t>
        </is>
      </c>
      <c r="AG164" s="32" t="inlineStr">
        <is>
          <t>Event dish: offline unlock undecided (START_HERE §8)</t>
        </is>
      </c>
      <c r="AH164" s="28" t="inlineStr"/>
      <c r="AI164" s="28" t="inlineStr"/>
      <c r="AJ164" s="28" t="inlineStr"/>
      <c r="AK164" s="28" t="inlineStr">
        <is>
          <t>鬼ちくぜん煮</t>
        </is>
      </c>
    </row>
    <row r="165">
      <c r="A165" s="28" t="n">
        <v>162</v>
      </c>
      <c r="B165" s="28" t="inlineStr">
        <is>
          <t>Bamboo Brain Juice</t>
        </is>
      </c>
      <c r="C165" s="28" t="n">
        <v>8</v>
      </c>
      <c r="D165" s="28" t="inlineStr">
        <is>
          <t>Event recipe</t>
        </is>
      </c>
      <c r="E165" s="28" t="inlineStr">
        <is>
          <t>JP-only</t>
        </is>
      </c>
      <c r="F165" s="28" t="inlineStr"/>
      <c r="G165" s="34" t="inlineStr">
        <is>
          <t>EN pattern: buff</t>
        </is>
      </c>
      <c r="H165" s="30">
        <f>IF(W165&gt;0,X165/W165-1,"")</f>
        <v/>
      </c>
      <c r="I165" s="28" t="inlineStr"/>
      <c r="J165" s="28" t="inlineStr"/>
      <c r="K165" s="31" t="n">
        <v>320</v>
      </c>
      <c r="L165" s="28" t="n">
        <v>120</v>
      </c>
      <c r="M165" s="31" t="n">
        <v>172</v>
      </c>
      <c r="N165" s="28" t="n">
        <v>5</v>
      </c>
      <c r="O165" s="28" t="n">
        <v>55</v>
      </c>
      <c r="P165" s="31" t="n">
        <v>210</v>
      </c>
      <c r="Q165" s="28" t="n">
        <v>120</v>
      </c>
      <c r="R165" s="31" t="n">
        <v>172</v>
      </c>
      <c r="S165" s="28" t="n">
        <v>5</v>
      </c>
      <c r="T165" s="28" t="n">
        <v>55</v>
      </c>
      <c r="U165" s="31" t="n">
        <v>540</v>
      </c>
      <c r="V165" s="31">
        <f>R165*S165-P165</f>
        <v/>
      </c>
      <c r="W165" s="28" t="n">
        <v>4.5</v>
      </c>
      <c r="X165" s="28">
        <f>ROUND(V165/MAX(Q165,1),2)</f>
        <v/>
      </c>
      <c r="Y165" s="28" t="n">
        <v>1.69</v>
      </c>
      <c r="Z165" s="28">
        <f>IF(P165&gt;0,ROUND(V165/P165,2),"")</f>
        <v/>
      </c>
      <c r="AA165" s="28" t="n">
        <v>0.458</v>
      </c>
      <c r="AB165" s="28">
        <f>ROUND(T165/MAX(Q165,1),3)</f>
        <v/>
      </c>
      <c r="AC165" s="32" t="inlineStr">
        <is>
          <t>Cost 320-&gt;210 (-34%)</t>
        </is>
      </c>
      <c r="AD165" s="32" t="inlineStr">
        <is>
          <t>Treated like Tweet Loaf, the middle of the 5 most similar EN dishes: you changed it cost -31% (profit ×1.10)</t>
        </is>
      </c>
      <c r="AE165" s="32" t="inlineStr">
        <is>
          <t>Tweet Loaf (EN Lv34: cost -31%)</t>
        </is>
      </c>
      <c r="AF165" s="32" t="inlineStr">
        <is>
          <t>Caramel Adam's Apple, Leech Melba, Tweet Loaf, Haggis, Torn-Up-Cake</t>
        </is>
      </c>
      <c r="AG165" s="32" t="inlineStr">
        <is>
          <t>Event dish: offline unlock undecided (START_HERE §8)</t>
        </is>
      </c>
      <c r="AH165" s="28" t="inlineStr"/>
      <c r="AI165" s="28" t="inlineStr"/>
      <c r="AJ165" s="28" t="inlineStr"/>
      <c r="AK165" s="28" t="inlineStr">
        <is>
          <t>バンブーブレインジュース</t>
        </is>
      </c>
    </row>
    <row r="166">
      <c r="A166" s="28" t="n">
        <v>163</v>
      </c>
      <c r="B166" s="28" t="inlineStr">
        <is>
          <t>Super Fruit Punch</t>
        </is>
      </c>
      <c r="C166" s="28" t="n">
        <v>4</v>
      </c>
      <c r="D166" s="28" t="inlineStr">
        <is>
          <t>Event recipe</t>
        </is>
      </c>
      <c r="E166" s="28" t="inlineStr">
        <is>
          <t>JP-only</t>
        </is>
      </c>
      <c r="F166" s="28" t="inlineStr"/>
      <c r="G166" s="35" t="inlineStr">
        <is>
          <t>EN pattern: hold</t>
        </is>
      </c>
      <c r="H166" s="30">
        <f>IF(W166&gt;0,X166/W166-1,"")</f>
        <v/>
      </c>
      <c r="I166" s="28" t="inlineStr"/>
      <c r="J166" s="28" t="inlineStr"/>
      <c r="K166" s="31" t="n">
        <v>800</v>
      </c>
      <c r="L166" s="28" t="n">
        <v>240</v>
      </c>
      <c r="M166" s="31" t="n">
        <v>777</v>
      </c>
      <c r="N166" s="28" t="n">
        <v>2</v>
      </c>
      <c r="O166" s="28" t="n">
        <v>35</v>
      </c>
      <c r="P166" s="31" t="n">
        <v>800</v>
      </c>
      <c r="Q166" s="28" t="n">
        <v>240</v>
      </c>
      <c r="R166" s="31" t="n">
        <v>777</v>
      </c>
      <c r="S166" s="28" t="n">
        <v>2</v>
      </c>
      <c r="T166" s="28" t="n">
        <v>35</v>
      </c>
      <c r="U166" s="31" t="n">
        <v>754</v>
      </c>
      <c r="V166" s="31">
        <f>R166*S166-P166</f>
        <v/>
      </c>
      <c r="W166" s="28" t="n">
        <v>3.14</v>
      </c>
      <c r="X166" s="28">
        <f>ROUND(V166/MAX(Q166,1),2)</f>
        <v/>
      </c>
      <c r="Y166" s="28" t="n">
        <v>0.9399999999999999</v>
      </c>
      <c r="Z166" s="28">
        <f>IF(P166&gt;0,ROUND(V166/P166,2),"")</f>
        <v/>
      </c>
      <c r="AA166" s="28" t="n">
        <v>0.146</v>
      </c>
      <c r="AB166" s="28">
        <f>ROUND(T166/MAX(Q166,1),3)</f>
        <v/>
      </c>
      <c r="AC166" s="32" t="inlineStr">
        <is>
          <t>—</t>
        </is>
      </c>
      <c r="AD166" s="32" t="inlineStr">
        <is>
          <t>Treated like Spiderello, the middle of the 5 most similar EN dishes: you changed it servings +4% (profit ×1.07)</t>
        </is>
      </c>
      <c r="AE166" s="32" t="inlineStr">
        <is>
          <t>Spiderello (EN Lv18: servings +4%)</t>
        </is>
      </c>
      <c r="AF166" s="32" t="inlineStr">
        <is>
          <t>Fish Bones &amp; Gold Chips, Roast Turk-key, Spiderello, Beeline Honey Glazed "Ham", Street Pizza</t>
        </is>
      </c>
      <c r="AG166" s="32" t="inlineStr">
        <is>
          <t>Event dish: offline unlock undecided (START_HERE §8)</t>
        </is>
      </c>
      <c r="AH166" s="28" t="inlineStr"/>
      <c r="AI166" s="28" t="inlineStr"/>
      <c r="AJ166" s="28" t="inlineStr"/>
      <c r="AK166" s="28" t="inlineStr">
        <is>
          <t>スーパーフルーツパンチ</t>
        </is>
      </c>
    </row>
    <row r="167">
      <c r="A167" s="28" t="n">
        <v>164</v>
      </c>
      <c r="B167" s="28" t="inlineStr">
        <is>
          <t>ZAP Bar</t>
        </is>
      </c>
      <c r="C167" s="28" t="n">
        <v>23</v>
      </c>
      <c r="D167" s="28" t="inlineStr">
        <is>
          <t>Event recipe</t>
        </is>
      </c>
      <c r="E167" s="28" t="inlineStr">
        <is>
          <t>JP-only</t>
        </is>
      </c>
      <c r="F167" s="28" t="inlineStr"/>
      <c r="G167" s="34" t="inlineStr">
        <is>
          <t>EN pattern: buff</t>
        </is>
      </c>
      <c r="H167" s="30">
        <f>IF(W167&gt;0,X167/W167-1,"")</f>
        <v/>
      </c>
      <c r="I167" s="28" t="inlineStr"/>
      <c r="J167" s="28" t="inlineStr"/>
      <c r="K167" s="31" t="n">
        <v>1400</v>
      </c>
      <c r="L167" s="28" t="n">
        <v>720</v>
      </c>
      <c r="M167" s="31" t="n">
        <v>333</v>
      </c>
      <c r="N167" s="28" t="n">
        <v>7</v>
      </c>
      <c r="O167" s="28" t="n">
        <v>240</v>
      </c>
      <c r="P167" s="31" t="n">
        <v>1250</v>
      </c>
      <c r="Q167" s="28" t="n">
        <v>720</v>
      </c>
      <c r="R167" s="31" t="n">
        <v>333</v>
      </c>
      <c r="S167" s="28" t="n">
        <v>7</v>
      </c>
      <c r="T167" s="28" t="n">
        <v>240</v>
      </c>
      <c r="U167" s="31" t="n">
        <v>931</v>
      </c>
      <c r="V167" s="31">
        <f>R167*S167-P167</f>
        <v/>
      </c>
      <c r="W167" s="28" t="n">
        <v>1.29</v>
      </c>
      <c r="X167" s="28">
        <f>ROUND(V167/MAX(Q167,1),2)</f>
        <v/>
      </c>
      <c r="Y167" s="28" t="n">
        <v>0.67</v>
      </c>
      <c r="Z167" s="28">
        <f>IF(P167&gt;0,ROUND(V167/P167,2),"")</f>
        <v/>
      </c>
      <c r="AA167" s="28" t="n">
        <v>0.333</v>
      </c>
      <c r="AB167" s="28">
        <f>ROUND(T167/MAX(Q167,1),3)</f>
        <v/>
      </c>
      <c r="AC167" s="32" t="inlineStr">
        <is>
          <t>Cost 1,400-&gt;1,250 (-11%)</t>
        </is>
      </c>
      <c r="AD167" s="32" t="inlineStr">
        <is>
          <t>Treated like Fileted Minion, the middle of the 5 most similar EN dishes: you changed it servings +5% (profit ×1.16)</t>
        </is>
      </c>
      <c r="AE167" s="32" t="inlineStr">
        <is>
          <t>Fileted Minion (EN Lv20: servings +5%)</t>
        </is>
      </c>
      <c r="AF167" s="32" t="inlineStr">
        <is>
          <t>Lion's Head Meatballs, Fileted Minion, Foie Gross, Toe-Cooked Baked Beans, Thorn Bread</t>
        </is>
      </c>
      <c r="AG167" s="32" t="inlineStr">
        <is>
          <t>Flavour/bulk number kept; gain moved to another number; Event dish: offline unlock undecided (START_HERE §8)</t>
        </is>
      </c>
      <c r="AH167" s="28" t="inlineStr"/>
      <c r="AI167" s="28" t="inlineStr"/>
      <c r="AJ167" s="28" t="inlineStr"/>
      <c r="AK167" s="28" t="inlineStr">
        <is>
          <t>ZAPバー</t>
        </is>
      </c>
    </row>
    <row r="168">
      <c r="A168" s="28" t="n">
        <v>165</v>
      </c>
      <c r="B168" s="28" t="inlineStr">
        <is>
          <t>Sketchy Somen</t>
        </is>
      </c>
      <c r="C168" s="28" t="n">
        <v>6</v>
      </c>
      <c r="D168" s="28" t="inlineStr">
        <is>
          <t>Event recipe</t>
        </is>
      </c>
      <c r="E168" s="28" t="inlineStr">
        <is>
          <t>JP-only</t>
        </is>
      </c>
      <c r="F168" s="28" t="inlineStr"/>
      <c r="G168" s="34" t="inlineStr">
        <is>
          <t>EN pattern: buff</t>
        </is>
      </c>
      <c r="H168" s="30">
        <f>IF(W168&gt;0,X168/W168-1,"")</f>
        <v/>
      </c>
      <c r="I168" s="28" t="inlineStr"/>
      <c r="J168" s="28" t="inlineStr"/>
      <c r="K168" s="31" t="n">
        <v>420</v>
      </c>
      <c r="L168" s="28" t="n">
        <v>360</v>
      </c>
      <c r="M168" s="31" t="n">
        <v>200</v>
      </c>
      <c r="N168" s="28" t="n">
        <v>5</v>
      </c>
      <c r="O168" s="28" t="n">
        <v>100</v>
      </c>
      <c r="P168" s="31" t="n">
        <v>420</v>
      </c>
      <c r="Q168" s="28" t="n">
        <v>360</v>
      </c>
      <c r="R168" s="31" t="n">
        <v>220</v>
      </c>
      <c r="S168" s="28" t="n">
        <v>5</v>
      </c>
      <c r="T168" s="28" t="n">
        <v>100</v>
      </c>
      <c r="U168" s="31" t="n">
        <v>580</v>
      </c>
      <c r="V168" s="31">
        <f>R168*S168-P168</f>
        <v/>
      </c>
      <c r="W168" s="28" t="n">
        <v>1.61</v>
      </c>
      <c r="X168" s="28">
        <f>ROUND(V168/MAX(Q168,1),2)</f>
        <v/>
      </c>
      <c r="Y168" s="28" t="n">
        <v>1.38</v>
      </c>
      <c r="Z168" s="28">
        <f>IF(P168&gt;0,ROUND(V168/P168,2),"")</f>
        <v/>
      </c>
      <c r="AA168" s="28" t="n">
        <v>0.278</v>
      </c>
      <c r="AB168" s="28">
        <f>ROUND(T168/MAX(Q168,1),3)</f>
        <v/>
      </c>
      <c r="AC168" s="32" t="inlineStr">
        <is>
          <t>Servings 200-&gt;220 (+10%)</t>
        </is>
      </c>
      <c r="AD168" s="32" t="inlineStr">
        <is>
          <t>Treated like Entropy Cassoulet, the middle of the 5 most similar EN dishes: you changed it servings +9% (profit ×1.15)</t>
        </is>
      </c>
      <c r="AE168" s="32" t="inlineStr">
        <is>
          <t>Entropy Cassoulet (EN Lv17: servings +9%)</t>
        </is>
      </c>
      <c r="AF168" s="32" t="inlineStr">
        <is>
          <t>Beeline Honey Glazed "Ham", Leftunders, Keblobs, Faux Noodles, Entropy Cassoulet</t>
        </is>
      </c>
      <c r="AG168" s="32" t="inlineStr">
        <is>
          <t>Event dish: offline unlock undecided (START_HERE §8)</t>
        </is>
      </c>
      <c r="AH168" s="28" t="inlineStr"/>
      <c r="AI168" s="28" t="inlineStr"/>
      <c r="AJ168" s="28" t="inlineStr"/>
      <c r="AK168" s="28" t="inlineStr">
        <is>
          <t>ヤバ素麺</t>
        </is>
      </c>
    </row>
    <row r="169">
      <c r="A169" s="28" t="n">
        <v>166</v>
      </c>
      <c r="B169" s="28" t="inlineStr">
        <is>
          <t>Shark Headlock</t>
        </is>
      </c>
      <c r="C169" s="28" t="n">
        <v>17</v>
      </c>
      <c r="D169" s="28" t="inlineStr">
        <is>
          <t>Event recipe</t>
        </is>
      </c>
      <c r="E169" s="28" t="inlineStr">
        <is>
          <t>JP-only</t>
        </is>
      </c>
      <c r="F169" s="28" t="inlineStr"/>
      <c r="G169" s="35" t="inlineStr">
        <is>
          <t>EN pattern: hold</t>
        </is>
      </c>
      <c r="H169" s="30">
        <f>IF(W169&gt;0,X169/W169-1,"")</f>
        <v/>
      </c>
      <c r="I169" s="28" t="inlineStr"/>
      <c r="J169" s="28" t="inlineStr"/>
      <c r="K169" s="31" t="n">
        <v>1800</v>
      </c>
      <c r="L169" s="28" t="n">
        <v>360</v>
      </c>
      <c r="M169" s="31" t="n">
        <v>700</v>
      </c>
      <c r="N169" s="28" t="n">
        <v>4</v>
      </c>
      <c r="O169" s="28" t="n">
        <v>90</v>
      </c>
      <c r="P169" s="31" t="n">
        <v>1800</v>
      </c>
      <c r="Q169" s="28" t="n">
        <v>360</v>
      </c>
      <c r="R169" s="31" t="n">
        <v>700</v>
      </c>
      <c r="S169" s="28" t="n">
        <v>4</v>
      </c>
      <c r="T169" s="28" t="n">
        <v>90</v>
      </c>
      <c r="U169" s="31" t="n">
        <v>1000</v>
      </c>
      <c r="V169" s="31">
        <f>R169*S169-P169</f>
        <v/>
      </c>
      <c r="W169" s="28" t="n">
        <v>2.78</v>
      </c>
      <c r="X169" s="28">
        <f>ROUND(V169/MAX(Q169,1),2)</f>
        <v/>
      </c>
      <c r="Y169" s="28" t="n">
        <v>0.5600000000000001</v>
      </c>
      <c r="Z169" s="28">
        <f>IF(P169&gt;0,ROUND(V169/P169,2),"")</f>
        <v/>
      </c>
      <c r="AA169" s="28" t="n">
        <v>0.25</v>
      </c>
      <c r="AB169" s="28">
        <f>ROUND(T169/MAX(Q169,1),3)</f>
        <v/>
      </c>
      <c r="AC169" s="32" t="inlineStr">
        <is>
          <t>—</t>
        </is>
      </c>
      <c r="AD169" s="32" t="inlineStr">
        <is>
          <t>Treated like Fish Bones &amp; Gold Chips, the middle of the 5 most similar EN dishes: you left it unchanged</t>
        </is>
      </c>
      <c r="AE169" s="32" t="inlineStr">
        <is>
          <t>Fish Bones &amp; Gold Chips (EN Lv12: unchanged)</t>
        </is>
      </c>
      <c r="AF169" s="32" t="inlineStr">
        <is>
          <t>Blueberry Fangcake, Chili Chili Bang Bang, Fish Bones &amp; Gold Chips, Lion's Head Meatballs, English Breakfast Pizza</t>
        </is>
      </c>
      <c r="AG169" s="32" t="inlineStr">
        <is>
          <t>Event dish: offline unlock undecided (START_HERE §8)</t>
        </is>
      </c>
      <c r="AH169" s="28" t="inlineStr"/>
      <c r="AI169" s="28" t="inlineStr"/>
      <c r="AJ169" s="28" t="inlineStr"/>
      <c r="AK169" s="28" t="inlineStr">
        <is>
          <t>シャークヘッドロック</t>
        </is>
      </c>
    </row>
    <row r="170">
      <c r="A170" s="28" t="n">
        <v>167</v>
      </c>
      <c r="B170" s="28" t="inlineStr">
        <is>
          <t>3rd Anniversary Bento</t>
        </is>
      </c>
      <c r="C170" s="28" t="n">
        <v>4</v>
      </c>
      <c r="D170" s="28" t="inlineStr">
        <is>
          <t>Event recipe</t>
        </is>
      </c>
      <c r="E170" s="28" t="inlineStr">
        <is>
          <t>JP-only</t>
        </is>
      </c>
      <c r="F170" s="28" t="inlineStr"/>
      <c r="G170" s="34" t="inlineStr">
        <is>
          <t>EN pattern: buff</t>
        </is>
      </c>
      <c r="H170" s="30">
        <f>IF(W170&gt;0,X170/W170-1,"")</f>
        <v/>
      </c>
      <c r="I170" s="28" t="inlineStr"/>
      <c r="J170" s="28" t="inlineStr"/>
      <c r="K170" s="31" t="n">
        <v>830</v>
      </c>
      <c r="L170" s="28" t="n">
        <v>600</v>
      </c>
      <c r="M170" s="31" t="n">
        <v>333</v>
      </c>
      <c r="N170" s="28" t="n">
        <v>10</v>
      </c>
      <c r="O170" s="28" t="n">
        <v>50</v>
      </c>
      <c r="P170" s="31" t="n">
        <v>470</v>
      </c>
      <c r="Q170" s="28" t="n">
        <v>600</v>
      </c>
      <c r="R170" s="31" t="n">
        <v>333</v>
      </c>
      <c r="S170" s="28" t="n">
        <v>10</v>
      </c>
      <c r="T170" s="28" t="n">
        <v>50</v>
      </c>
      <c r="U170" s="31" t="n">
        <v>2500</v>
      </c>
      <c r="V170" s="31">
        <f>R170*S170-P170</f>
        <v/>
      </c>
      <c r="W170" s="28" t="n">
        <v>4.17</v>
      </c>
      <c r="X170" s="28">
        <f>ROUND(V170/MAX(Q170,1),2)</f>
        <v/>
      </c>
      <c r="Y170" s="28" t="n">
        <v>3.01</v>
      </c>
      <c r="Z170" s="28">
        <f>IF(P170&gt;0,ROUND(V170/P170,2),"")</f>
        <v/>
      </c>
      <c r="AA170" s="28" t="n">
        <v>0.083</v>
      </c>
      <c r="AB170" s="28">
        <f>ROUND(T170/MAX(Q170,1),3)</f>
        <v/>
      </c>
      <c r="AC170" s="32" t="inlineStr">
        <is>
          <t>Cost 830-&gt;470 (-43%)</t>
        </is>
      </c>
      <c r="AD170" s="32" t="inlineStr">
        <is>
          <t>Treated like Dark Matter Loaf, the middle of the 5 most similar EN dishes: you changed it servings +10% (profit ×1.14)</t>
        </is>
      </c>
      <c r="AE170" s="32" t="inlineStr">
        <is>
          <t>Dark Matter Loaf (EN Lv25: servings +10%)</t>
        </is>
      </c>
      <c r="AF170" s="32" t="inlineStr">
        <is>
          <t>Dark Matter Loaf, Festering Hot Chocolate, Entropy Cassoulet, Chili Chili Bang Bang, Chicken Fried Snake</t>
        </is>
      </c>
      <c r="AG170" s="32" t="inlineStr">
        <is>
          <t>Loose match: no EN dish is very close; Flavour/bulk number kept; gain moved to another number; Event dish: offline unlock undecided (START_HERE §8)</t>
        </is>
      </c>
      <c r="AH170" s="28" t="inlineStr"/>
      <c r="AI170" s="28" t="inlineStr"/>
      <c r="AJ170" s="28" t="inlineStr"/>
      <c r="AK170" s="28" t="inlineStr">
        <is>
          <t>３周年キャラ弁</t>
        </is>
      </c>
    </row>
    <row r="171">
      <c r="A171" s="28" t="n">
        <v>168</v>
      </c>
      <c r="B171" s="28" t="inlineStr">
        <is>
          <t>Hot Frog</t>
        </is>
      </c>
      <c r="C171" s="28" t="n">
        <v>61</v>
      </c>
      <c r="D171" s="28" t="inlineStr">
        <is>
          <t>Level track</t>
        </is>
      </c>
      <c r="E171" s="28" t="inlineStr">
        <is>
          <t>JP-only</t>
        </is>
      </c>
      <c r="F171" s="28" t="inlineStr"/>
      <c r="G171" s="34" t="inlineStr">
        <is>
          <t>EN pattern: buff</t>
        </is>
      </c>
      <c r="H171" s="30">
        <f>IF(W171&gt;0,X171/W171-1,"")</f>
        <v/>
      </c>
      <c r="I171" s="28" t="inlineStr"/>
      <c r="J171" s="28" t="inlineStr"/>
      <c r="K171" s="31" t="n">
        <v>1800</v>
      </c>
      <c r="L171" s="28" t="n">
        <v>840</v>
      </c>
      <c r="M171" s="31" t="n">
        <v>760</v>
      </c>
      <c r="N171" s="28" t="n">
        <v>6</v>
      </c>
      <c r="O171" s="28" t="n">
        <v>130</v>
      </c>
      <c r="P171" s="31" t="n">
        <v>1800</v>
      </c>
      <c r="Q171" s="28" t="n">
        <v>840</v>
      </c>
      <c r="R171" s="31" t="n">
        <v>810</v>
      </c>
      <c r="S171" s="28" t="n">
        <v>6</v>
      </c>
      <c r="T171" s="28" t="n">
        <v>130</v>
      </c>
      <c r="U171" s="31" t="n">
        <v>2760</v>
      </c>
      <c r="V171" s="31">
        <f>R171*S171-P171</f>
        <v/>
      </c>
      <c r="W171" s="28" t="n">
        <v>3.29</v>
      </c>
      <c r="X171" s="28">
        <f>ROUND(V171/MAX(Q171,1),2)</f>
        <v/>
      </c>
      <c r="Y171" s="28" t="n">
        <v>1.53</v>
      </c>
      <c r="Z171" s="28">
        <f>IF(P171&gt;0,ROUND(V171/P171,2),"")</f>
        <v/>
      </c>
      <c r="AA171" s="28" t="n">
        <v>0.155</v>
      </c>
      <c r="AB171" s="28">
        <f>ROUND(T171/MAX(Q171,1),3)</f>
        <v/>
      </c>
      <c r="AC171" s="32" t="inlineStr">
        <is>
          <t>Servings 760-&gt;810 (+7%)</t>
        </is>
      </c>
      <c r="AD171" s="32" t="inlineStr">
        <is>
          <t>Treated like Toads &amp; Tofu, the middle of the 5 most similar EN dishes: you changed it servings +7% (profit ×1.10)</t>
        </is>
      </c>
      <c r="AE171" s="32" t="inlineStr">
        <is>
          <t>Toads &amp; Tofu (EN Lv57: servings +7%)</t>
        </is>
      </c>
      <c r="AF171" s="32" t="inlineStr">
        <is>
          <t>Toads &amp; Tofu, Kidney Pie, Roe Boat, Fetid Djinni, Verminestroni</t>
        </is>
      </c>
      <c r="AG171" s="32" t="inlineStr"/>
      <c r="AH171" s="28" t="inlineStr"/>
      <c r="AI171" s="28" t="inlineStr"/>
      <c r="AJ171" s="28" t="inlineStr"/>
      <c r="AK171" s="28" t="inlineStr">
        <is>
          <t>ホットフロッグ</t>
        </is>
      </c>
    </row>
    <row r="172">
      <c r="A172" s="28" t="n">
        <v>169</v>
      </c>
      <c r="B172" s="28" t="inlineStr">
        <is>
          <t>Mega-Heap Bento</t>
        </is>
      </c>
      <c r="C172" s="28" t="n">
        <v>8</v>
      </c>
      <c r="D172" s="28" t="inlineStr">
        <is>
          <t>Event recipe</t>
        </is>
      </c>
      <c r="E172" s="28" t="inlineStr">
        <is>
          <t>JP-only</t>
        </is>
      </c>
      <c r="F172" s="28" t="inlineStr"/>
      <c r="G172" s="35" t="inlineStr">
        <is>
          <t>EN pattern: hold</t>
        </is>
      </c>
      <c r="H172" s="30">
        <f>IF(W172&gt;0,X172/W172-1,"")</f>
        <v/>
      </c>
      <c r="I172" s="28" t="inlineStr"/>
      <c r="J172" s="28" t="inlineStr"/>
      <c r="K172" s="31" t="n">
        <v>650</v>
      </c>
      <c r="L172" s="28" t="n">
        <v>60</v>
      </c>
      <c r="M172" s="31" t="n">
        <v>150</v>
      </c>
      <c r="N172" s="28" t="n">
        <v>8</v>
      </c>
      <c r="O172" s="28" t="n">
        <v>80</v>
      </c>
      <c r="P172" s="31" t="n">
        <v>650</v>
      </c>
      <c r="Q172" s="28" t="n">
        <v>60</v>
      </c>
      <c r="R172" s="31" t="n">
        <v>150</v>
      </c>
      <c r="S172" s="28" t="n">
        <v>8</v>
      </c>
      <c r="T172" s="28" t="n">
        <v>80</v>
      </c>
      <c r="U172" s="31" t="n">
        <v>550</v>
      </c>
      <c r="V172" s="31">
        <f>R172*S172-P172</f>
        <v/>
      </c>
      <c r="W172" s="28" t="n">
        <v>9.17</v>
      </c>
      <c r="X172" s="28">
        <f>ROUND(V172/MAX(Q172,1),2)</f>
        <v/>
      </c>
      <c r="Y172" s="28" t="n">
        <v>0.85</v>
      </c>
      <c r="Z172" s="28">
        <f>IF(P172&gt;0,ROUND(V172/P172,2),"")</f>
        <v/>
      </c>
      <c r="AA172" s="28" t="n">
        <v>1.333</v>
      </c>
      <c r="AB172" s="28">
        <f>ROUND(T172/MAX(Q172,1),3)</f>
        <v/>
      </c>
      <c r="AC172" s="32" t="inlineStr">
        <is>
          <t>—</t>
        </is>
      </c>
      <c r="AD172" s="32" t="inlineStr">
        <is>
          <t>Treated like Putrefied Clam Chowder, the middle of the 5 most similar EN dishes: you left it unchanged</t>
        </is>
      </c>
      <c r="AE172" s="32" t="inlineStr">
        <is>
          <t>Putrefied Clam Chowder (EN Lv35: unchanged)</t>
        </is>
      </c>
      <c r="AF172" s="32" t="inlineStr">
        <is>
          <t>Sandwitch, Caramel Adam's Apple, Putrefied Clam Chowder, Leech Melba, Brine Shrimp Cocktail</t>
        </is>
      </c>
      <c r="AG172" s="32" t="inlineStr">
        <is>
          <t>Loose match: no EN dish is very close; Quick-cash dish already (9.2 $/min); Event dish: offline unlock undecided (START_HERE §8)</t>
        </is>
      </c>
      <c r="AH172" s="28" t="inlineStr"/>
      <c r="AI172" s="28" t="inlineStr"/>
      <c r="AJ172" s="28" t="inlineStr"/>
      <c r="AK172" s="28" t="inlineStr">
        <is>
          <t>爆盛り弁当</t>
        </is>
      </c>
    </row>
    <row r="173">
      <c r="A173" s="28" t="n">
        <v>170</v>
      </c>
      <c r="B173" s="28" t="inlineStr">
        <is>
          <t>Eyeball Yakisoba</t>
        </is>
      </c>
      <c r="C173" s="28" t="n">
        <v>10</v>
      </c>
      <c r="D173" s="28" t="inlineStr">
        <is>
          <t>Event recipe</t>
        </is>
      </c>
      <c r="E173" s="28" t="inlineStr">
        <is>
          <t>JP-only</t>
        </is>
      </c>
      <c r="F173" s="28" t="inlineStr"/>
      <c r="G173" s="35" t="inlineStr">
        <is>
          <t>EN pattern: hold</t>
        </is>
      </c>
      <c r="H173" s="30">
        <f>IF(W173&gt;0,X173/W173-1,"")</f>
        <v/>
      </c>
      <c r="I173" s="28" t="inlineStr"/>
      <c r="J173" s="28" t="inlineStr"/>
      <c r="K173" s="31" t="n">
        <v>600</v>
      </c>
      <c r="L173" s="28" t="n">
        <v>45</v>
      </c>
      <c r="M173" s="31" t="n">
        <v>300</v>
      </c>
      <c r="N173" s="28" t="n">
        <v>4</v>
      </c>
      <c r="O173" s="28" t="n">
        <v>60</v>
      </c>
      <c r="P173" s="31" t="n">
        <v>600</v>
      </c>
      <c r="Q173" s="28" t="n">
        <v>45</v>
      </c>
      <c r="R173" s="31" t="n">
        <v>300</v>
      </c>
      <c r="S173" s="28" t="n">
        <v>4</v>
      </c>
      <c r="T173" s="28" t="n">
        <v>60</v>
      </c>
      <c r="U173" s="31" t="n">
        <v>600</v>
      </c>
      <c r="V173" s="31">
        <f>R173*S173-P173</f>
        <v/>
      </c>
      <c r="W173" s="28" t="n">
        <v>13.33</v>
      </c>
      <c r="X173" s="28">
        <f>ROUND(V173/MAX(Q173,1),2)</f>
        <v/>
      </c>
      <c r="Y173" s="28" t="n">
        <v>1</v>
      </c>
      <c r="Z173" s="28">
        <f>IF(P173&gt;0,ROUND(V173/P173,2),"")</f>
        <v/>
      </c>
      <c r="AA173" s="28" t="n">
        <v>1.333</v>
      </c>
      <c r="AB173" s="28">
        <f>ROUND(T173/MAX(Q173,1),3)</f>
        <v/>
      </c>
      <c r="AC173" s="32" t="inlineStr">
        <is>
          <t>—</t>
        </is>
      </c>
      <c r="AD173" s="32" t="inlineStr">
        <is>
          <t>Treated like Brain Washer Soup, the middle of the 5 most similar EN dishes: you left it unchanged</t>
        </is>
      </c>
      <c r="AE173" s="32" t="inlineStr">
        <is>
          <t>Brain Washer Soup (EN Lv14: unchanged)</t>
        </is>
      </c>
      <c r="AF173" s="32" t="inlineStr">
        <is>
          <t>Sandwitch, Caramel Adam's Apple, Brain Washer Soup, Putrefied Clam Chowder, Tainted Sparkling Water</t>
        </is>
      </c>
      <c r="AG173" s="32" t="inlineStr">
        <is>
          <t>Loose match: no EN dish is very close; Quick-cash dish already (13.3 $/min); Event dish: offline unlock undecided (START_HERE §8)</t>
        </is>
      </c>
      <c r="AH173" s="28" t="inlineStr"/>
      <c r="AI173" s="28" t="inlineStr"/>
      <c r="AJ173" s="28" t="inlineStr"/>
      <c r="AK173" s="28" t="inlineStr">
        <is>
          <t>目玉な焼きソバ</t>
        </is>
      </c>
    </row>
    <row r="174">
      <c r="A174" s="28" t="n">
        <v>171</v>
      </c>
      <c r="B174" s="28" t="inlineStr">
        <is>
          <t>Magical Omurice</t>
        </is>
      </c>
      <c r="C174" s="28" t="n">
        <v>25</v>
      </c>
      <c r="D174" s="28" t="inlineStr">
        <is>
          <t>Event recipe</t>
        </is>
      </c>
      <c r="E174" s="28" t="inlineStr">
        <is>
          <t>JP-only</t>
        </is>
      </c>
      <c r="F174" s="28" t="inlineStr"/>
      <c r="G174" s="34" t="inlineStr">
        <is>
          <t>EN pattern: buff</t>
        </is>
      </c>
      <c r="H174" s="30">
        <f>IF(W174&gt;0,X174/W174-1,"")</f>
        <v/>
      </c>
      <c r="I174" s="28" t="inlineStr"/>
      <c r="J174" s="28" t="inlineStr"/>
      <c r="K174" s="31" t="n">
        <v>1300</v>
      </c>
      <c r="L174" s="28" t="n">
        <v>420</v>
      </c>
      <c r="M174" s="31" t="n">
        <v>520</v>
      </c>
      <c r="N174" s="28" t="n">
        <v>7</v>
      </c>
      <c r="O174" s="28" t="n">
        <v>125</v>
      </c>
      <c r="P174" s="31" t="n">
        <v>1300</v>
      </c>
      <c r="Q174" s="28" t="n">
        <v>420</v>
      </c>
      <c r="R174" s="31" t="n">
        <v>550</v>
      </c>
      <c r="S174" s="28" t="n">
        <v>7</v>
      </c>
      <c r="T174" s="28" t="n">
        <v>125</v>
      </c>
      <c r="U174" s="31" t="n">
        <v>2340</v>
      </c>
      <c r="V174" s="31">
        <f>R174*S174-P174</f>
        <v/>
      </c>
      <c r="W174" s="28" t="n">
        <v>5.57</v>
      </c>
      <c r="X174" s="28">
        <f>ROUND(V174/MAX(Q174,1),2)</f>
        <v/>
      </c>
      <c r="Y174" s="28" t="n">
        <v>1.8</v>
      </c>
      <c r="Z174" s="28">
        <f>IF(P174&gt;0,ROUND(V174/P174,2),"")</f>
        <v/>
      </c>
      <c r="AA174" s="28" t="n">
        <v>0.298</v>
      </c>
      <c r="AB174" s="28">
        <f>ROUND(T174/MAX(Q174,1),3)</f>
        <v/>
      </c>
      <c r="AC174" s="32" t="inlineStr">
        <is>
          <t>Servings 520-&gt;550 (+6%)</t>
        </is>
      </c>
      <c r="AD174" s="32" t="inlineStr">
        <is>
          <t>Treated like Festering Hot Chocolate, the middle of the 5 most similar EN dishes: you changed it servings +6% (profit ×1.10)</t>
        </is>
      </c>
      <c r="AE174" s="32" t="inlineStr">
        <is>
          <t>Festering Hot Chocolate (EN Lv20: servings +6%)</t>
        </is>
      </c>
      <c r="AF174" s="32" t="inlineStr">
        <is>
          <t>Dark Matter Loaf, Chili Chili Bang Bang, Chicken Fried Snake, Festering Hot Chocolate, Spiderello</t>
        </is>
      </c>
      <c r="AG174" s="32" t="inlineStr">
        <is>
          <t>Quick-cash dish already (5.6 $/min); Event dish: offline unlock undecided (START_HERE §8)</t>
        </is>
      </c>
      <c r="AH174" s="28" t="inlineStr"/>
      <c r="AI174" s="28" t="inlineStr"/>
      <c r="AJ174" s="28" t="inlineStr"/>
      <c r="AK174" s="28" t="inlineStr">
        <is>
          <t>魔法なオムライス</t>
        </is>
      </c>
    </row>
    <row r="175">
      <c r="A175" s="28" t="n">
        <v>172</v>
      </c>
      <c r="B175" s="28" t="inlineStr">
        <is>
          <t>Arthur Tongue with Salt</t>
        </is>
      </c>
      <c r="C175" s="28" t="n">
        <v>15</v>
      </c>
      <c r="D175" s="28" t="inlineStr">
        <is>
          <t>Event recipe</t>
        </is>
      </c>
      <c r="E175" s="28" t="inlineStr">
        <is>
          <t>JP-only</t>
        </is>
      </c>
      <c r="F175" s="28" t="inlineStr"/>
      <c r="G175" s="34" t="inlineStr">
        <is>
          <t>EN pattern: buff</t>
        </is>
      </c>
      <c r="H175" s="30">
        <f>IF(W175&gt;0,X175/W175-1,"")</f>
        <v/>
      </c>
      <c r="I175" s="28" t="inlineStr"/>
      <c r="J175" s="28" t="inlineStr"/>
      <c r="K175" s="31" t="n">
        <v>3000</v>
      </c>
      <c r="L175" s="28" t="n">
        <v>800</v>
      </c>
      <c r="M175" s="31" t="n">
        <v>1100</v>
      </c>
      <c r="N175" s="28" t="n">
        <v>5</v>
      </c>
      <c r="O175" s="28" t="n">
        <v>70</v>
      </c>
      <c r="P175" s="31" t="n">
        <v>1800</v>
      </c>
      <c r="Q175" s="28" t="n">
        <v>800</v>
      </c>
      <c r="R175" s="31" t="n">
        <v>1100</v>
      </c>
      <c r="S175" s="28" t="n">
        <v>5</v>
      </c>
      <c r="T175" s="28" t="n">
        <v>70</v>
      </c>
      <c r="U175" s="31" t="n">
        <v>2500</v>
      </c>
      <c r="V175" s="31">
        <f>R175*S175-P175</f>
        <v/>
      </c>
      <c r="W175" s="28" t="n">
        <v>3.12</v>
      </c>
      <c r="X175" s="28">
        <f>ROUND(V175/MAX(Q175,1),2)</f>
        <v/>
      </c>
      <c r="Y175" s="28" t="n">
        <v>0.83</v>
      </c>
      <c r="Z175" s="28">
        <f>IF(P175&gt;0,ROUND(V175/P175,2),"")</f>
        <v/>
      </c>
      <c r="AA175" s="28" t="n">
        <v>0.08699999999999999</v>
      </c>
      <c r="AB175" s="28">
        <f>ROUND(T175/MAX(Q175,1),3)</f>
        <v/>
      </c>
      <c r="AC175" s="32" t="inlineStr">
        <is>
          <t>Cost 3,000-&gt;1,800 (-40%)</t>
        </is>
      </c>
      <c r="AD175" s="32" t="inlineStr">
        <is>
          <t>Treated like String (Theory) Cheese, the middle of the 5 most similar EN dishes: you changed it cost -40%, servings -25% (profit ×1.00)</t>
        </is>
      </c>
      <c r="AE175" s="32" t="inlineStr">
        <is>
          <t>String (Theory) Cheese (EN Lv24: cost -40%, servings -25%)</t>
        </is>
      </c>
      <c r="AF175" s="32" t="inlineStr">
        <is>
          <t>Blueberry Fangcake, Deep Fried Bacon Wrapped Pizza, Nuke Fondue, String (Theory) Cheese, Quasar Coffee</t>
        </is>
      </c>
      <c r="AG175" s="32" t="inlineStr">
        <is>
          <t>Event dish: offline unlock undecided (START_HERE §8)</t>
        </is>
      </c>
      <c r="AH175" s="28" t="inlineStr"/>
      <c r="AI175" s="28" t="inlineStr"/>
      <c r="AJ175" s="28" t="inlineStr"/>
      <c r="AK175" s="28" t="inlineStr">
        <is>
          <t>アーサータン塩</t>
        </is>
      </c>
    </row>
    <row r="176">
      <c r="A176" s="28" t="n">
        <v>173</v>
      </c>
      <c r="B176" s="28" t="inlineStr">
        <is>
          <t>Chilly Melon</t>
        </is>
      </c>
      <c r="C176" s="28" t="n">
        <v>10</v>
      </c>
      <c r="D176" s="28" t="inlineStr">
        <is>
          <t>Event recipe</t>
        </is>
      </c>
      <c r="E176" s="28" t="inlineStr">
        <is>
          <t>JP-only</t>
        </is>
      </c>
      <c r="F176" s="28" t="inlineStr"/>
      <c r="G176" s="34" t="inlineStr">
        <is>
          <t>EN pattern: buff</t>
        </is>
      </c>
      <c r="H176" s="30">
        <f>IF(W176&gt;0,X176/W176-1,"")</f>
        <v/>
      </c>
      <c r="I176" s="28" t="inlineStr"/>
      <c r="J176" s="28" t="inlineStr"/>
      <c r="K176" s="31" t="n">
        <v>700</v>
      </c>
      <c r="L176" s="28" t="n">
        <v>180</v>
      </c>
      <c r="M176" s="31" t="n">
        <v>230</v>
      </c>
      <c r="N176" s="28" t="n">
        <v>6</v>
      </c>
      <c r="O176" s="28" t="n">
        <v>45</v>
      </c>
      <c r="P176" s="31" t="n">
        <v>700</v>
      </c>
      <c r="Q176" s="28" t="n">
        <v>180</v>
      </c>
      <c r="R176" s="31" t="n">
        <v>240</v>
      </c>
      <c r="S176" s="28" t="n">
        <v>6</v>
      </c>
      <c r="T176" s="28" t="n">
        <v>45</v>
      </c>
      <c r="U176" s="31" t="n">
        <v>680</v>
      </c>
      <c r="V176" s="31">
        <f>R176*S176-P176</f>
        <v/>
      </c>
      <c r="W176" s="28" t="n">
        <v>3.78</v>
      </c>
      <c r="X176" s="28">
        <f>ROUND(V176/MAX(Q176,1),2)</f>
        <v/>
      </c>
      <c r="Y176" s="28" t="n">
        <v>0.97</v>
      </c>
      <c r="Z176" s="28">
        <f>IF(P176&gt;0,ROUND(V176/P176,2),"")</f>
        <v/>
      </c>
      <c r="AA176" s="28" t="n">
        <v>0.25</v>
      </c>
      <c r="AB176" s="28">
        <f>ROUND(T176/MAX(Q176,1),3)</f>
        <v/>
      </c>
      <c r="AC176" s="32" t="inlineStr">
        <is>
          <t>Servings 230-&gt;240 (+4%)</t>
        </is>
      </c>
      <c r="AD176" s="32" t="inlineStr">
        <is>
          <t>Treated like Spiderello, the middle of the 5 most similar EN dishes: you changed it servings +4% (profit ×1.07)</t>
        </is>
      </c>
      <c r="AE176" s="32" t="inlineStr">
        <is>
          <t>Spiderello (EN Lv18: servings +4%)</t>
        </is>
      </c>
      <c r="AF176" s="32" t="inlineStr">
        <is>
          <t>Leech Melba, Fish Bones &amp; Gold Chips, Spiderello, English Breakfast Pizza, Festering Hot Chocolate</t>
        </is>
      </c>
      <c r="AG176" s="32" t="inlineStr">
        <is>
          <t>Event dish: offline unlock undecided (START_HERE §8)</t>
        </is>
      </c>
      <c r="AH176" s="28" t="inlineStr"/>
      <c r="AI176" s="28" t="inlineStr"/>
      <c r="AJ176" s="28" t="inlineStr"/>
      <c r="AK176" s="28" t="inlineStr">
        <is>
          <t>メロンくーり</t>
        </is>
      </c>
    </row>
    <row r="177">
      <c r="A177" s="28" t="n">
        <v>174</v>
      </c>
      <c r="B177" s="28" t="inlineStr">
        <is>
          <t>Tooth-Breaker Steak</t>
        </is>
      </c>
      <c r="C177" s="28" t="n">
        <v>28</v>
      </c>
      <c r="D177" s="28" t="inlineStr">
        <is>
          <t>Event recipe</t>
        </is>
      </c>
      <c r="E177" s="28" t="inlineStr">
        <is>
          <t>JP-only</t>
        </is>
      </c>
      <c r="F177" s="28" t="inlineStr"/>
      <c r="G177" s="35" t="inlineStr">
        <is>
          <t>EN pattern: hold</t>
        </is>
      </c>
      <c r="H177" s="30">
        <f>IF(W177&gt;0,X177/W177-1,"")</f>
        <v/>
      </c>
      <c r="I177" s="28" t="inlineStr"/>
      <c r="J177" s="28" t="inlineStr"/>
      <c r="K177" s="31" t="n">
        <v>2500</v>
      </c>
      <c r="L177" s="28" t="n">
        <v>700</v>
      </c>
      <c r="M177" s="31" t="n">
        <v>1300</v>
      </c>
      <c r="N177" s="28" t="n">
        <v>4</v>
      </c>
      <c r="O177" s="28" t="n">
        <v>190</v>
      </c>
      <c r="P177" s="31" t="n">
        <v>2500</v>
      </c>
      <c r="Q177" s="28" t="n">
        <v>700</v>
      </c>
      <c r="R177" s="31" t="n">
        <v>1300</v>
      </c>
      <c r="S177" s="28" t="n">
        <v>4</v>
      </c>
      <c r="T177" s="28" t="n">
        <v>190</v>
      </c>
      <c r="U177" s="31" t="n">
        <v>2700</v>
      </c>
      <c r="V177" s="31">
        <f>R177*S177-P177</f>
        <v/>
      </c>
      <c r="W177" s="28" t="n">
        <v>3.86</v>
      </c>
      <c r="X177" s="28">
        <f>ROUND(V177/MAX(Q177,1),2)</f>
        <v/>
      </c>
      <c r="Y177" s="28" t="n">
        <v>1.08</v>
      </c>
      <c r="Z177" s="28">
        <f>IF(P177&gt;0,ROUND(V177/P177,2),"")</f>
        <v/>
      </c>
      <c r="AA177" s="28" t="n">
        <v>0.271</v>
      </c>
      <c r="AB177" s="28">
        <f>ROUND(T177/MAX(Q177,1),3)</f>
        <v/>
      </c>
      <c r="AC177" s="32" t="inlineStr">
        <is>
          <t>—</t>
        </is>
      </c>
      <c r="AD177" s="32" t="inlineStr">
        <is>
          <t>Treated like Nuke Fondue, the middle of the 5 most similar EN dishes: you left it unchanged</t>
        </is>
      </c>
      <c r="AE177" s="32" t="inlineStr">
        <is>
          <t>Nuke Fondue (EN Lv14: unchanged)</t>
        </is>
      </c>
      <c r="AF177" s="32" t="inlineStr">
        <is>
          <t>Deep Fried Bacon Wrapped Pizza, Blueberry Fangcake, Chili Chili Bang Bang, Quasar Coffee, Nuke Fondue</t>
        </is>
      </c>
      <c r="AG177" s="32" t="inlineStr">
        <is>
          <t>Event dish: offline unlock undecided (START_HERE §8)</t>
        </is>
      </c>
      <c r="AH177" s="28" t="inlineStr"/>
      <c r="AI177" s="28" t="inlineStr"/>
      <c r="AJ177" s="28" t="inlineStr"/>
      <c r="AK177" s="28" t="inlineStr">
        <is>
          <t>歯壊ステーキ</t>
        </is>
      </c>
    </row>
    <row r="178">
      <c r="A178" s="28" t="n">
        <v>175</v>
      </c>
      <c r="B178" s="28" t="inlineStr">
        <is>
          <t>Suspicious E-Tank Soup</t>
        </is>
      </c>
      <c r="C178" s="28" t="n">
        <v>10</v>
      </c>
      <c r="D178" s="28" t="inlineStr">
        <is>
          <t>Event recipe</t>
        </is>
      </c>
      <c r="E178" s="28" t="inlineStr">
        <is>
          <t>JP-only</t>
        </is>
      </c>
      <c r="F178" s="28" t="inlineStr"/>
      <c r="G178" s="34" t="inlineStr">
        <is>
          <t>EN pattern: buff</t>
        </is>
      </c>
      <c r="H178" s="30">
        <f>IF(W178&gt;0,X178/W178-1,"")</f>
        <v/>
      </c>
      <c r="I178" s="28" t="inlineStr"/>
      <c r="J178" s="28" t="inlineStr"/>
      <c r="K178" s="31" t="n">
        <v>1000</v>
      </c>
      <c r="L178" s="28" t="n">
        <v>300</v>
      </c>
      <c r="M178" s="31" t="n">
        <v>300</v>
      </c>
      <c r="N178" s="28" t="n">
        <v>6</v>
      </c>
      <c r="O178" s="28" t="n">
        <v>80</v>
      </c>
      <c r="P178" s="31" t="n">
        <v>1000</v>
      </c>
      <c r="Q178" s="28" t="n">
        <v>300</v>
      </c>
      <c r="R178" s="31" t="n">
        <v>310</v>
      </c>
      <c r="S178" s="28" t="n">
        <v>6</v>
      </c>
      <c r="T178" s="28" t="n">
        <v>80</v>
      </c>
      <c r="U178" s="31" t="n">
        <v>800</v>
      </c>
      <c r="V178" s="31">
        <f>R178*S178-P178</f>
        <v/>
      </c>
      <c r="W178" s="28" t="n">
        <v>2.67</v>
      </c>
      <c r="X178" s="28">
        <f>ROUND(V178/MAX(Q178,1),2)</f>
        <v/>
      </c>
      <c r="Y178" s="28" t="n">
        <v>0.8</v>
      </c>
      <c r="Z178" s="28">
        <f>IF(P178&gt;0,ROUND(V178/P178,2),"")</f>
        <v/>
      </c>
      <c r="AA178" s="28" t="n">
        <v>0.267</v>
      </c>
      <c r="AB178" s="28">
        <f>ROUND(T178/MAX(Q178,1),3)</f>
        <v/>
      </c>
      <c r="AC178" s="32" t="inlineStr">
        <is>
          <t>Servings 300-&gt;310 (+3%)</t>
        </is>
      </c>
      <c r="AD178" s="32" t="inlineStr">
        <is>
          <t>Treated like Spiderello, the middle of the 5 most similar EN dishes: you changed it servings +4% (profit ×1.07)</t>
        </is>
      </c>
      <c r="AE178" s="32" t="inlineStr">
        <is>
          <t>Spiderello (EN Lv18: servings +4%)</t>
        </is>
      </c>
      <c r="AF178" s="32" t="inlineStr">
        <is>
          <t>Fish Bones &amp; Gold Chips, Spiderello, Chili Chili Bang Bang, Entropy Cassoulet, Festering Hot Chocolate</t>
        </is>
      </c>
      <c r="AG178" s="32" t="inlineStr">
        <is>
          <t>Event dish: offline unlock undecided (START_HERE §8)</t>
        </is>
      </c>
      <c r="AH178" s="28" t="inlineStr"/>
      <c r="AI178" s="28" t="inlineStr"/>
      <c r="AJ178" s="28" t="inlineStr"/>
      <c r="AK178" s="28" t="inlineStr">
        <is>
          <t>あやしいＥ缶スープ</t>
        </is>
      </c>
    </row>
    <row r="179">
      <c r="A179" s="28" t="n">
        <v>176</v>
      </c>
      <c r="B179" s="28" t="inlineStr">
        <is>
          <t>1-Up Steak</t>
        </is>
      </c>
      <c r="C179" s="28" t="n">
        <v>20</v>
      </c>
      <c r="D179" s="28" t="inlineStr">
        <is>
          <t>Event recipe</t>
        </is>
      </c>
      <c r="E179" s="28" t="inlineStr">
        <is>
          <t>JP-only</t>
        </is>
      </c>
      <c r="F179" s="28" t="inlineStr"/>
      <c r="G179" s="35" t="inlineStr">
        <is>
          <t>EN pattern: hold</t>
        </is>
      </c>
      <c r="H179" s="30">
        <f>IF(W179&gt;0,X179/W179-1,"")</f>
        <v/>
      </c>
      <c r="I179" s="28" t="inlineStr"/>
      <c r="J179" s="28" t="inlineStr"/>
      <c r="K179" s="31" t="n">
        <v>1987</v>
      </c>
      <c r="L179" s="28" t="n">
        <v>600</v>
      </c>
      <c r="M179" s="31" t="n">
        <v>1217</v>
      </c>
      <c r="N179" s="28" t="n">
        <v>3</v>
      </c>
      <c r="O179" s="28" t="n">
        <v>132</v>
      </c>
      <c r="P179" s="31" t="n">
        <v>1987</v>
      </c>
      <c r="Q179" s="28" t="n">
        <v>600</v>
      </c>
      <c r="R179" s="31" t="n">
        <v>1217</v>
      </c>
      <c r="S179" s="28" t="n">
        <v>3</v>
      </c>
      <c r="T179" s="28" t="n">
        <v>132</v>
      </c>
      <c r="U179" s="31" t="n">
        <v>1664</v>
      </c>
      <c r="V179" s="31">
        <f>R179*S179-P179</f>
        <v/>
      </c>
      <c r="W179" s="28" t="n">
        <v>2.77</v>
      </c>
      <c r="X179" s="28">
        <f>ROUND(V179/MAX(Q179,1),2)</f>
        <v/>
      </c>
      <c r="Y179" s="28" t="n">
        <v>0.84</v>
      </c>
      <c r="Z179" s="28">
        <f>IF(P179&gt;0,ROUND(V179/P179,2),"")</f>
        <v/>
      </c>
      <c r="AA179" s="28" t="n">
        <v>0.22</v>
      </c>
      <c r="AB179" s="28">
        <f>ROUND(T179/MAX(Q179,1),3)</f>
        <v/>
      </c>
      <c r="AC179" s="32" t="inlineStr">
        <is>
          <t>—</t>
        </is>
      </c>
      <c r="AD179" s="32" t="inlineStr">
        <is>
          <t>Treated like Nuke Fondue, the middle of the 5 most similar EN dishes: you left it unchanged</t>
        </is>
      </c>
      <c r="AE179" s="32" t="inlineStr">
        <is>
          <t>Nuke Fondue (EN Lv14: unchanged)</t>
        </is>
      </c>
      <c r="AF179" s="32" t="inlineStr">
        <is>
          <t>Jumble Eye-ah, Blueberry Fangcake, Nuke Fondue, Chili Chili Bang Bang, Quasar Coffee</t>
        </is>
      </c>
      <c r="AG179" s="32" t="inlineStr">
        <is>
          <t>Event dish: offline unlock undecided (START_HERE §8)</t>
        </is>
      </c>
      <c r="AH179" s="28" t="inlineStr"/>
      <c r="AI179" s="28" t="inlineStr"/>
      <c r="AJ179" s="28" t="inlineStr"/>
      <c r="AK179" s="28" t="inlineStr">
        <is>
          <t>1Up風ステーキ</t>
        </is>
      </c>
    </row>
    <row r="180">
      <c r="A180" s="28" t="n">
        <v>177</v>
      </c>
      <c r="B180" s="28" t="inlineStr">
        <is>
          <t>Donkey Dog</t>
        </is>
      </c>
      <c r="C180" s="28" t="n">
        <v>12</v>
      </c>
      <c r="D180" s="28" t="inlineStr">
        <is>
          <t>Event recipe</t>
        </is>
      </c>
      <c r="E180" s="28" t="inlineStr">
        <is>
          <t>JP-only</t>
        </is>
      </c>
      <c r="F180" s="28" t="inlineStr"/>
      <c r="G180" s="34" t="inlineStr">
        <is>
          <t>EN pattern: buff</t>
        </is>
      </c>
      <c r="H180" s="30">
        <f>IF(W180&gt;0,X180/W180-1,"")</f>
        <v/>
      </c>
      <c r="I180" s="28" t="inlineStr"/>
      <c r="J180" s="28" t="inlineStr"/>
      <c r="K180" s="31" t="n">
        <v>300</v>
      </c>
      <c r="L180" s="28" t="n">
        <v>180</v>
      </c>
      <c r="M180" s="31" t="n">
        <v>180</v>
      </c>
      <c r="N180" s="28" t="n">
        <v>7</v>
      </c>
      <c r="O180" s="28" t="n">
        <v>100</v>
      </c>
      <c r="P180" s="31" t="n">
        <v>300</v>
      </c>
      <c r="Q180" s="28" t="n">
        <v>180</v>
      </c>
      <c r="R180" s="31" t="n">
        <v>190</v>
      </c>
      <c r="S180" s="28" t="n">
        <v>7</v>
      </c>
      <c r="T180" s="28" t="n">
        <v>100</v>
      </c>
      <c r="U180" s="31" t="n">
        <v>960</v>
      </c>
      <c r="V180" s="31">
        <f>R180*S180-P180</f>
        <v/>
      </c>
      <c r="W180" s="28" t="n">
        <v>5.33</v>
      </c>
      <c r="X180" s="28">
        <f>ROUND(V180/MAX(Q180,1),2)</f>
        <v/>
      </c>
      <c r="Y180" s="28" t="n">
        <v>3.2</v>
      </c>
      <c r="Z180" s="28">
        <f>IF(P180&gt;0,ROUND(V180/P180,2),"")</f>
        <v/>
      </c>
      <c r="AA180" s="28" t="n">
        <v>0.556</v>
      </c>
      <c r="AB180" s="28">
        <f>ROUND(T180/MAX(Q180,1),3)</f>
        <v/>
      </c>
      <c r="AC180" s="32" t="inlineStr">
        <is>
          <t>Servings 180-&gt;190 (+6%)</t>
        </is>
      </c>
      <c r="AD180" s="32" t="inlineStr">
        <is>
          <t>Treated like Buffalo Wings, the middle of the 5 most similar EN dishes: you changed it servings +6% (profit ×1.09)</t>
        </is>
      </c>
      <c r="AE180" s="32" t="inlineStr">
        <is>
          <t>Buffalo Wings (EN Lv27: servings +6%)</t>
        </is>
      </c>
      <c r="AF180" s="32" t="inlineStr">
        <is>
          <t>Tweet Loaf, Leech Melba, Buffalo Wings, Dark Matter Loaf, Caramel Adam's Apple</t>
        </is>
      </c>
      <c r="AG180" s="32" t="inlineStr">
        <is>
          <t>Loose match: no EN dish is very close; Quick-cash dish already (5.3 $/min); Event dish: offline unlock undecided (START_HERE §8)</t>
        </is>
      </c>
      <c r="AH180" s="28" t="inlineStr"/>
      <c r="AI180" s="28" t="inlineStr"/>
      <c r="AJ180" s="28" t="inlineStr"/>
      <c r="AK180" s="28" t="inlineStr">
        <is>
          <t>ドンキードッグ</t>
        </is>
      </c>
    </row>
    <row r="181">
      <c r="A181" s="28" t="n">
        <v>178</v>
      </c>
      <c r="B181" s="28" t="inlineStr">
        <is>
          <t>Vampire Burger</t>
        </is>
      </c>
      <c r="C181" s="28" t="n">
        <v>9</v>
      </c>
      <c r="D181" s="28" t="inlineStr">
        <is>
          <t>Event recipe</t>
        </is>
      </c>
      <c r="E181" s="28" t="inlineStr">
        <is>
          <t>JP-only</t>
        </is>
      </c>
      <c r="F181" s="28" t="inlineStr"/>
      <c r="G181" s="34" t="inlineStr">
        <is>
          <t>EN pattern: buff</t>
        </is>
      </c>
      <c r="H181" s="30">
        <f>IF(W181&gt;0,X181/W181-1,"")</f>
        <v/>
      </c>
      <c r="I181" s="28" t="inlineStr"/>
      <c r="J181" s="28" t="inlineStr"/>
      <c r="K181" s="31" t="n">
        <v>600</v>
      </c>
      <c r="L181" s="28" t="n">
        <v>420</v>
      </c>
      <c r="M181" s="31" t="n">
        <v>200</v>
      </c>
      <c r="N181" s="28" t="n">
        <v>10</v>
      </c>
      <c r="O181" s="28" t="n">
        <v>65</v>
      </c>
      <c r="P181" s="31" t="n">
        <v>600</v>
      </c>
      <c r="Q181" s="28" t="n">
        <v>420</v>
      </c>
      <c r="R181" s="31" t="n">
        <v>210</v>
      </c>
      <c r="S181" s="28" t="n">
        <v>10</v>
      </c>
      <c r="T181" s="28" t="n">
        <v>65</v>
      </c>
      <c r="U181" s="31" t="n">
        <v>1400</v>
      </c>
      <c r="V181" s="31">
        <f>R181*S181-P181</f>
        <v/>
      </c>
      <c r="W181" s="28" t="n">
        <v>3.33</v>
      </c>
      <c r="X181" s="28">
        <f>ROUND(V181/MAX(Q181,1),2)</f>
        <v/>
      </c>
      <c r="Y181" s="28" t="n">
        <v>2.33</v>
      </c>
      <c r="Z181" s="28">
        <f>IF(P181&gt;0,ROUND(V181/P181,2),"")</f>
        <v/>
      </c>
      <c r="AA181" s="28" t="n">
        <v>0.155</v>
      </c>
      <c r="AB181" s="28">
        <f>ROUND(T181/MAX(Q181,1),3)</f>
        <v/>
      </c>
      <c r="AC181" s="32" t="inlineStr">
        <is>
          <t>Servings 200-&gt;210 (+5%)</t>
        </is>
      </c>
      <c r="AD181" s="32" t="inlineStr">
        <is>
          <t>Treated like Festering Hot Chocolate, the middle of the 5 most similar EN dishes: you changed it servings +6% (profit ×1.10)</t>
        </is>
      </c>
      <c r="AE181" s="32" t="inlineStr">
        <is>
          <t>Festering Hot Chocolate (EN Lv20: servings +6%)</t>
        </is>
      </c>
      <c r="AF181" s="32" t="inlineStr">
        <is>
          <t>Dark Matter Loaf, Festering Hot Chocolate, Entropy Cassoulet, Leech Melba, Spiderello</t>
        </is>
      </c>
      <c r="AG181" s="32" t="inlineStr">
        <is>
          <t>Event dish: offline unlock undecided (START_HERE §8)</t>
        </is>
      </c>
      <c r="AH181" s="28" t="inlineStr"/>
      <c r="AI181" s="28" t="inlineStr"/>
      <c r="AJ181" s="28" t="inlineStr"/>
      <c r="AK181" s="28" t="inlineStr">
        <is>
          <t>ヴァンパイアバーガー</t>
        </is>
      </c>
    </row>
    <row r="182">
      <c r="A182" s="28" t="n">
        <v>179</v>
      </c>
      <c r="B182" s="28" t="inlineStr">
        <is>
          <t>Vampire Lunch</t>
        </is>
      </c>
      <c r="C182" s="28" t="n">
        <v>18</v>
      </c>
      <c r="D182" s="28" t="inlineStr">
        <is>
          <t>Event recipe</t>
        </is>
      </c>
      <c r="E182" s="28" t="inlineStr">
        <is>
          <t>JP-only</t>
        </is>
      </c>
      <c r="F182" s="28" t="inlineStr"/>
      <c r="G182" s="34" t="inlineStr">
        <is>
          <t>EN pattern: buff</t>
        </is>
      </c>
      <c r="H182" s="30">
        <f>IF(W182&gt;0,X182/W182-1,"")</f>
        <v/>
      </c>
      <c r="I182" s="28" t="inlineStr"/>
      <c r="J182" s="28" t="inlineStr"/>
      <c r="K182" s="31" t="n">
        <v>2000</v>
      </c>
      <c r="L182" s="28" t="n">
        <v>1380</v>
      </c>
      <c r="M182" s="31" t="n">
        <v>550</v>
      </c>
      <c r="N182" s="28" t="n">
        <v>10</v>
      </c>
      <c r="O182" s="28" t="n">
        <v>180</v>
      </c>
      <c r="P182" s="31" t="n">
        <v>1375</v>
      </c>
      <c r="Q182" s="28" t="n">
        <v>1380</v>
      </c>
      <c r="R182" s="31" t="n">
        <v>550</v>
      </c>
      <c r="S182" s="28" t="n">
        <v>10</v>
      </c>
      <c r="T182" s="28" t="n">
        <v>180</v>
      </c>
      <c r="U182" s="31" t="n">
        <v>3500</v>
      </c>
      <c r="V182" s="31">
        <f>R182*S182-P182</f>
        <v/>
      </c>
      <c r="W182" s="28" t="n">
        <v>2.54</v>
      </c>
      <c r="X182" s="28">
        <f>ROUND(V182/MAX(Q182,1),2)</f>
        <v/>
      </c>
      <c r="Y182" s="28" t="n">
        <v>1.75</v>
      </c>
      <c r="Z182" s="28">
        <f>IF(P182&gt;0,ROUND(V182/P182,2),"")</f>
        <v/>
      </c>
      <c r="AA182" s="28" t="n">
        <v>0.13</v>
      </c>
      <c r="AB182" s="28">
        <f>ROUND(T182/MAX(Q182,1),3)</f>
        <v/>
      </c>
      <c r="AC182" s="32" t="inlineStr">
        <is>
          <t>Cost 2,000-&gt;1,375 (-31%)</t>
        </is>
      </c>
      <c r="AD182" s="32" t="inlineStr">
        <is>
          <t>Treated like Deep Fried Bacon Wrapped Pizza, the middle of the 5 most similar EN dishes: you changed it cost -30%, servings -16% (profit ×1.01)</t>
        </is>
      </c>
      <c r="AE182" s="32" t="inlineStr">
        <is>
          <t>Deep Fried Bacon Wrapped Pizza (EN Lv29: cost -30%, servings -16%)</t>
        </is>
      </c>
      <c r="AF182" s="32" t="inlineStr">
        <is>
          <t>Puking Duck, Quasar Coffee, Deep Fried Bacon Wrapped Pizza, Nuke Fondue, Head Cheese Pizza</t>
        </is>
      </c>
      <c r="AG182" s="32" t="inlineStr">
        <is>
          <t>Event dish: offline unlock undecided (START_HERE §8)</t>
        </is>
      </c>
      <c r="AH182" s="28" t="inlineStr"/>
      <c r="AI182" s="28" t="inlineStr"/>
      <c r="AJ182" s="28" t="inlineStr"/>
      <c r="AK182" s="28" t="inlineStr">
        <is>
          <t>ヴァンパイアランチ</t>
        </is>
      </c>
    </row>
    <row r="183">
      <c r="A183" s="28" t="n">
        <v>180</v>
      </c>
      <c r="B183" s="28" t="inlineStr">
        <is>
          <t>Mandragora Dip</t>
        </is>
      </c>
      <c r="C183" s="28" t="n">
        <v>62</v>
      </c>
      <c r="D183" s="28" t="inlineStr">
        <is>
          <t>Level track</t>
        </is>
      </c>
      <c r="E183" s="28" t="inlineStr">
        <is>
          <t>JP-only</t>
        </is>
      </c>
      <c r="F183" s="28" t="inlineStr"/>
      <c r="G183" s="34" t="inlineStr">
        <is>
          <t>EN pattern: buff</t>
        </is>
      </c>
      <c r="H183" s="30">
        <f>IF(W183&gt;0,X183/W183-1,"")</f>
        <v/>
      </c>
      <c r="I183" s="28" t="inlineStr"/>
      <c r="J183" s="28" t="inlineStr"/>
      <c r="K183" s="31" t="n">
        <v>4000</v>
      </c>
      <c r="L183" s="28" t="n">
        <v>600</v>
      </c>
      <c r="M183" s="31" t="n">
        <v>850</v>
      </c>
      <c r="N183" s="28" t="n">
        <v>8</v>
      </c>
      <c r="O183" s="28" t="n">
        <v>130</v>
      </c>
      <c r="P183" s="31" t="n">
        <v>3350</v>
      </c>
      <c r="Q183" s="28" t="n">
        <v>600</v>
      </c>
      <c r="R183" s="31" t="n">
        <v>890</v>
      </c>
      <c r="S183" s="28" t="n">
        <v>8</v>
      </c>
      <c r="T183" s="28" t="n">
        <v>130</v>
      </c>
      <c r="U183" s="31" t="n">
        <v>2800</v>
      </c>
      <c r="V183" s="31">
        <f>R183*S183-P183</f>
        <v/>
      </c>
      <c r="W183" s="28" t="n">
        <v>4.67</v>
      </c>
      <c r="X183" s="28">
        <f>ROUND(V183/MAX(Q183,1),2)</f>
        <v/>
      </c>
      <c r="Y183" s="28" t="n">
        <v>0.7</v>
      </c>
      <c r="Z183" s="28">
        <f>IF(P183&gt;0,ROUND(V183/P183,2),"")</f>
        <v/>
      </c>
      <c r="AA183" s="28" t="n">
        <v>0.217</v>
      </c>
      <c r="AB183" s="28">
        <f>ROUND(T183/MAX(Q183,1),3)</f>
        <v/>
      </c>
      <c r="AC183" s="32" t="inlineStr">
        <is>
          <t>Cost 4,000-&gt;3,350 (-16%); Servings 850-&gt;890 (+5%)</t>
        </is>
      </c>
      <c r="AD183" s="32" t="inlineStr">
        <is>
          <t>Treated like Hash Clown, the middle of the 5 most similar EN dishes: you changed it cost -16%, servings +5% (profit ×1.32)</t>
        </is>
      </c>
      <c r="AE183" s="32" t="inlineStr">
        <is>
          <t>Hash Clown (EN Lv65: cost -16%, servings +5%)</t>
        </is>
      </c>
      <c r="AF183" s="32" t="inlineStr">
        <is>
          <t>Tropical Coco Brain, Cali Snail Rolls, Hash Clown, Verminestroni, Broxy</t>
        </is>
      </c>
      <c r="AG183" s="32" t="inlineStr"/>
      <c r="AH183" s="28" t="inlineStr"/>
      <c r="AI183" s="28" t="inlineStr"/>
      <c r="AJ183" s="28" t="inlineStr"/>
      <c r="AK183" s="28" t="inlineStr">
        <is>
          <t>マンドラゴラディップ</t>
        </is>
      </c>
    </row>
    <row r="184">
      <c r="A184" s="28" t="n">
        <v>181</v>
      </c>
      <c r="B184" s="28" t="inlineStr">
        <is>
          <t>Hydra Salad</t>
        </is>
      </c>
      <c r="C184" s="28" t="n">
        <v>26</v>
      </c>
      <c r="D184" s="28" t="inlineStr">
        <is>
          <t>Event recipe</t>
        </is>
      </c>
      <c r="E184" s="28" t="inlineStr">
        <is>
          <t>JP-only</t>
        </is>
      </c>
      <c r="F184" s="28" t="inlineStr"/>
      <c r="G184" s="34" t="inlineStr">
        <is>
          <t>EN pattern: buff</t>
        </is>
      </c>
      <c r="H184" s="30">
        <f>IF(W184&gt;0,X184/W184-1,"")</f>
        <v/>
      </c>
      <c r="I184" s="28" t="inlineStr"/>
      <c r="J184" s="28" t="inlineStr"/>
      <c r="K184" s="31" t="n">
        <v>2500</v>
      </c>
      <c r="L184" s="28" t="n">
        <v>1560</v>
      </c>
      <c r="M184" s="31" t="n">
        <v>660</v>
      </c>
      <c r="N184" s="28" t="n">
        <v>8</v>
      </c>
      <c r="O184" s="28" t="n">
        <v>120</v>
      </c>
      <c r="P184" s="31" t="n">
        <v>1725</v>
      </c>
      <c r="Q184" s="28" t="n">
        <v>1560</v>
      </c>
      <c r="R184" s="31" t="n">
        <v>660</v>
      </c>
      <c r="S184" s="28" t="n">
        <v>8</v>
      </c>
      <c r="T184" s="28" t="n">
        <v>120</v>
      </c>
      <c r="U184" s="31" t="n">
        <v>2780</v>
      </c>
      <c r="V184" s="31">
        <f>R184*S184-P184</f>
        <v/>
      </c>
      <c r="W184" s="28" t="n">
        <v>1.78</v>
      </c>
      <c r="X184" s="28">
        <f>ROUND(V184/MAX(Q184,1),2)</f>
        <v/>
      </c>
      <c r="Y184" s="28" t="n">
        <v>1.11</v>
      </c>
      <c r="Z184" s="28">
        <f>IF(P184&gt;0,ROUND(V184/P184,2),"")</f>
        <v/>
      </c>
      <c r="AA184" s="28" t="n">
        <v>0.077</v>
      </c>
      <c r="AB184" s="28">
        <f>ROUND(T184/MAX(Q184,1),3)</f>
        <v/>
      </c>
      <c r="AC184" s="32" t="inlineStr">
        <is>
          <t>Cost 2,500-&gt;1,725 (-31%)</t>
        </is>
      </c>
      <c r="AD184" s="32" t="inlineStr">
        <is>
          <t>Treated like Deep Fried Bacon Wrapped Pizza, the middle of the 5 most similar EN dishes: you changed it cost -30%, servings -16% (profit ×1.01)</t>
        </is>
      </c>
      <c r="AE184" s="32" t="inlineStr">
        <is>
          <t>Deep Fried Bacon Wrapped Pizza (EN Lv29: cost -30%, servings -16%)</t>
        </is>
      </c>
      <c r="AF184" s="32" t="inlineStr">
        <is>
          <t>Deep Fried Bacon Wrapped Pizza, Pigs in a Blanket, Head Cheese Pizza, Quasar Coffee, Puking Duck</t>
        </is>
      </c>
      <c r="AG184" s="32" t="inlineStr">
        <is>
          <t>Event dish: offline unlock undecided (START_HERE §8)</t>
        </is>
      </c>
      <c r="AH184" s="28" t="inlineStr"/>
      <c r="AI184" s="28" t="inlineStr"/>
      <c r="AJ184" s="28" t="inlineStr"/>
      <c r="AK184" s="28" t="inlineStr">
        <is>
          <t>ヒュドラのサラダ</t>
        </is>
      </c>
    </row>
    <row r="185">
      <c r="A185" s="28" t="n">
        <v>182</v>
      </c>
      <c r="B185" s="28" t="inlineStr">
        <is>
          <t>Arthur Steak</t>
        </is>
      </c>
      <c r="C185" s="28" t="n">
        <v>13</v>
      </c>
      <c r="D185" s="28" t="inlineStr">
        <is>
          <t>Event recipe</t>
        </is>
      </c>
      <c r="E185" s="28" t="inlineStr">
        <is>
          <t>JP-only</t>
        </is>
      </c>
      <c r="F185" s="28" t="inlineStr"/>
      <c r="G185" s="35" t="inlineStr">
        <is>
          <t>EN pattern: hold</t>
        </is>
      </c>
      <c r="H185" s="30">
        <f>IF(W185&gt;0,X185/W185-1,"")</f>
        <v/>
      </c>
      <c r="I185" s="28" t="inlineStr"/>
      <c r="J185" s="28" t="inlineStr"/>
      <c r="K185" s="31" t="n">
        <v>800</v>
      </c>
      <c r="L185" s="28" t="n">
        <v>1320</v>
      </c>
      <c r="M185" s="31" t="n">
        <v>400</v>
      </c>
      <c r="N185" s="28" t="n">
        <v>6</v>
      </c>
      <c r="O185" s="28" t="n">
        <v>100</v>
      </c>
      <c r="P185" s="31" t="n">
        <v>800</v>
      </c>
      <c r="Q185" s="28" t="n">
        <v>1320</v>
      </c>
      <c r="R185" s="31" t="n">
        <v>400</v>
      </c>
      <c r="S185" s="28" t="n">
        <v>6</v>
      </c>
      <c r="T185" s="28" t="n">
        <v>100</v>
      </c>
      <c r="U185" s="31" t="n">
        <v>1600</v>
      </c>
      <c r="V185" s="31">
        <f>R185*S185-P185</f>
        <v/>
      </c>
      <c r="W185" s="28" t="n">
        <v>1.21</v>
      </c>
      <c r="X185" s="28">
        <f>ROUND(V185/MAX(Q185,1),2)</f>
        <v/>
      </c>
      <c r="Y185" s="28" t="n">
        <v>2</v>
      </c>
      <c r="Z185" s="28">
        <f>IF(P185&gt;0,ROUND(V185/P185,2),"")</f>
        <v/>
      </c>
      <c r="AA185" s="28" t="n">
        <v>0.076</v>
      </c>
      <c r="AB185" s="28">
        <f>ROUND(T185/MAX(Q185,1),3)</f>
        <v/>
      </c>
      <c r="AC185" s="32" t="inlineStr">
        <is>
          <t>—</t>
        </is>
      </c>
      <c r="AD185" s="32" t="inlineStr">
        <is>
          <t>Treated like Fried Snakeroll, the middle of the 5 most similar EN dishes: you left it unchanged</t>
        </is>
      </c>
      <c r="AE185" s="32" t="inlineStr">
        <is>
          <t>Fried Snakeroll (EN Lv20: unchanged)</t>
        </is>
      </c>
      <c r="AF185" s="32" t="inlineStr">
        <is>
          <t>Puking Duck, Quasar Coffee, Head Cheese Pizza, Rabid Rabbit, Fried Snakeroll</t>
        </is>
      </c>
      <c r="AG185" s="32" t="inlineStr">
        <is>
          <t>Event dish: offline unlock undecided (START_HERE §8)</t>
        </is>
      </c>
      <c r="AH185" s="28" t="inlineStr"/>
      <c r="AI185" s="28" t="inlineStr"/>
      <c r="AJ185" s="28" t="inlineStr"/>
      <c r="AK185" s="28" t="inlineStr">
        <is>
          <t>アーサーステーキ</t>
        </is>
      </c>
    </row>
    <row r="186">
      <c r="A186" s="28" t="n">
        <v>183</v>
      </c>
      <c r="B186" s="28" t="inlineStr">
        <is>
          <t>Orc Steak</t>
        </is>
      </c>
      <c r="C186" s="28" t="n">
        <v>5</v>
      </c>
      <c r="D186" s="28" t="inlineStr">
        <is>
          <t>Event recipe</t>
        </is>
      </c>
      <c r="E186" s="28" t="inlineStr">
        <is>
          <t>JP-only</t>
        </is>
      </c>
      <c r="F186" s="28" t="inlineStr"/>
      <c r="G186" s="34" t="inlineStr">
        <is>
          <t>EN pattern: buff</t>
        </is>
      </c>
      <c r="H186" s="30">
        <f>IF(W186&gt;0,X186/W186-1,"")</f>
        <v/>
      </c>
      <c r="I186" s="28" t="inlineStr"/>
      <c r="J186" s="28" t="inlineStr"/>
      <c r="K186" s="31" t="n">
        <v>1000</v>
      </c>
      <c r="L186" s="28" t="n">
        <v>300</v>
      </c>
      <c r="M186" s="31" t="n">
        <v>500</v>
      </c>
      <c r="N186" s="28" t="n">
        <v>4</v>
      </c>
      <c r="O186" s="28" t="n">
        <v>70</v>
      </c>
      <c r="P186" s="31" t="n">
        <v>1000</v>
      </c>
      <c r="Q186" s="28" t="n">
        <v>300</v>
      </c>
      <c r="R186" s="31" t="n">
        <v>520</v>
      </c>
      <c r="S186" s="28" t="n">
        <v>4</v>
      </c>
      <c r="T186" s="28" t="n">
        <v>70</v>
      </c>
      <c r="U186" s="31" t="n">
        <v>1000</v>
      </c>
      <c r="V186" s="31">
        <f>R186*S186-P186</f>
        <v/>
      </c>
      <c r="W186" s="28" t="n">
        <v>3.33</v>
      </c>
      <c r="X186" s="28">
        <f>ROUND(V186/MAX(Q186,1),2)</f>
        <v/>
      </c>
      <c r="Y186" s="28" t="n">
        <v>1</v>
      </c>
      <c r="Z186" s="28">
        <f>IF(P186&gt;0,ROUND(V186/P186,2),"")</f>
        <v/>
      </c>
      <c r="AA186" s="28" t="n">
        <v>0.233</v>
      </c>
      <c r="AB186" s="28">
        <f>ROUND(T186/MAX(Q186,1),3)</f>
        <v/>
      </c>
      <c r="AC186" s="32" t="inlineStr">
        <is>
          <t>Servings 500-&gt;520 (+4%)</t>
        </is>
      </c>
      <c r="AD186" s="32" t="inlineStr">
        <is>
          <t>Treated like Spiderello, the middle of the 5 most similar EN dishes: you changed it servings +4% (profit ×1.07)</t>
        </is>
      </c>
      <c r="AE186" s="32" t="inlineStr">
        <is>
          <t>Spiderello (EN Lv18: servings +4%)</t>
        </is>
      </c>
      <c r="AF186" s="32" t="inlineStr">
        <is>
          <t>Fish Bones &amp; Gold Chips, Spiderello, Chili Chili Bang Bang, Entropy Cassoulet, Festering Hot Chocolate</t>
        </is>
      </c>
      <c r="AG186" s="32" t="inlineStr">
        <is>
          <t>Event dish: offline unlock undecided (START_HERE §8)</t>
        </is>
      </c>
      <c r="AH186" s="28" t="inlineStr"/>
      <c r="AI186" s="28" t="inlineStr"/>
      <c r="AJ186" s="28" t="inlineStr"/>
      <c r="AK186" s="28" t="inlineStr">
        <is>
          <t>オークステーキ</t>
        </is>
      </c>
    </row>
    <row r="187">
      <c r="A187" s="28" t="n">
        <v>184</v>
      </c>
      <c r="B187" s="28" t="inlineStr">
        <is>
          <t>Oil Stew</t>
        </is>
      </c>
      <c r="C187" s="28" t="n">
        <v>16</v>
      </c>
      <c r="D187" s="28" t="inlineStr">
        <is>
          <t>Event recipe</t>
        </is>
      </c>
      <c r="E187" s="28" t="inlineStr">
        <is>
          <t>JP-only</t>
        </is>
      </c>
      <c r="F187" s="28" t="inlineStr"/>
      <c r="G187" s="35" t="inlineStr">
        <is>
          <t>EN pattern: hold</t>
        </is>
      </c>
      <c r="H187" s="30">
        <f>IF(W187&gt;0,X187/W187-1,"")</f>
        <v/>
      </c>
      <c r="I187" s="28" t="inlineStr"/>
      <c r="J187" s="28" t="inlineStr"/>
      <c r="K187" s="31" t="n">
        <v>4000</v>
      </c>
      <c r="L187" s="28" t="n">
        <v>1380</v>
      </c>
      <c r="M187" s="31" t="n">
        <v>900</v>
      </c>
      <c r="N187" s="28" t="n">
        <v>8</v>
      </c>
      <c r="O187" s="28" t="n">
        <v>80</v>
      </c>
      <c r="P187" s="31" t="n">
        <v>4000</v>
      </c>
      <c r="Q187" s="28" t="n">
        <v>1380</v>
      </c>
      <c r="R187" s="31" t="n">
        <v>900</v>
      </c>
      <c r="S187" s="28" t="n">
        <v>8</v>
      </c>
      <c r="T187" s="28" t="n">
        <v>80</v>
      </c>
      <c r="U187" s="31" t="n">
        <v>3200</v>
      </c>
      <c r="V187" s="31">
        <f>R187*S187-P187</f>
        <v/>
      </c>
      <c r="W187" s="28" t="n">
        <v>2.32</v>
      </c>
      <c r="X187" s="28">
        <f>ROUND(V187/MAX(Q187,1),2)</f>
        <v/>
      </c>
      <c r="Y187" s="28" t="n">
        <v>0.8</v>
      </c>
      <c r="Z187" s="28">
        <f>IF(P187&gt;0,ROUND(V187/P187,2),"")</f>
        <v/>
      </c>
      <c r="AA187" s="28" t="n">
        <v>0.058</v>
      </c>
      <c r="AB187" s="28">
        <f>ROUND(T187/MAX(Q187,1),3)</f>
        <v/>
      </c>
      <c r="AC187" s="32" t="inlineStr">
        <is>
          <t>—</t>
        </is>
      </c>
      <c r="AD187" s="32" t="inlineStr">
        <is>
          <t>Treated like Red Dragon, the middle of the 5 most similar EN dishes: you left it unchanged</t>
        </is>
      </c>
      <c r="AE187" s="32" t="inlineStr">
        <is>
          <t>Red Dragon (EN Lv11: unchanged)</t>
        </is>
      </c>
      <c r="AF187" s="32" t="inlineStr">
        <is>
          <t>Deep Fried Bacon Wrapped Pizza, String (Theory) Cheese, Blueberry Fangcake, Red Dragon, Pigs in a Blanket</t>
        </is>
      </c>
      <c r="AG187" s="32" t="inlineStr">
        <is>
          <t>Event dish: offline unlock undecided (START_HERE §8)</t>
        </is>
      </c>
      <c r="AH187" s="28" t="inlineStr"/>
      <c r="AI187" s="28" t="inlineStr"/>
      <c r="AJ187" s="28" t="inlineStr"/>
      <c r="AK187" s="28" t="inlineStr">
        <is>
          <t>オイルシチュー</t>
        </is>
      </c>
    </row>
    <row r="188">
      <c r="A188" s="28" t="n">
        <v>185</v>
      </c>
      <c r="B188" s="28" t="inlineStr">
        <is>
          <t>Gnome Salad</t>
        </is>
      </c>
      <c r="C188" s="28" t="n">
        <v>21</v>
      </c>
      <c r="D188" s="28" t="inlineStr">
        <is>
          <t>Event recipe</t>
        </is>
      </c>
      <c r="E188" s="28" t="inlineStr">
        <is>
          <t>JP-only</t>
        </is>
      </c>
      <c r="F188" s="28" t="inlineStr"/>
      <c r="G188" s="35" t="inlineStr">
        <is>
          <t>EN pattern: hold</t>
        </is>
      </c>
      <c r="H188" s="30">
        <f>IF(W188&gt;0,X188/W188-1,"")</f>
        <v/>
      </c>
      <c r="I188" s="28" t="inlineStr"/>
      <c r="J188" s="28" t="inlineStr"/>
      <c r="K188" s="31" t="n">
        <v>1500</v>
      </c>
      <c r="L188" s="28" t="n">
        <v>960</v>
      </c>
      <c r="M188" s="31" t="n">
        <v>520</v>
      </c>
      <c r="N188" s="28" t="n">
        <v>6</v>
      </c>
      <c r="O188" s="28" t="n">
        <v>120</v>
      </c>
      <c r="P188" s="31" t="n">
        <v>1500</v>
      </c>
      <c r="Q188" s="28" t="n">
        <v>960</v>
      </c>
      <c r="R188" s="31" t="n">
        <v>520</v>
      </c>
      <c r="S188" s="28" t="n">
        <v>6</v>
      </c>
      <c r="T188" s="28" t="n">
        <v>120</v>
      </c>
      <c r="U188" s="31" t="n">
        <v>1620</v>
      </c>
      <c r="V188" s="31">
        <f>R188*S188-P188</f>
        <v/>
      </c>
      <c r="W188" s="28" t="n">
        <v>1.69</v>
      </c>
      <c r="X188" s="28">
        <f>ROUND(V188/MAX(Q188,1),2)</f>
        <v/>
      </c>
      <c r="Y188" s="28" t="n">
        <v>1.08</v>
      </c>
      <c r="Z188" s="28">
        <f>IF(P188&gt;0,ROUND(V188/P188,2),"")</f>
        <v/>
      </c>
      <c r="AA188" s="28" t="n">
        <v>0.125</v>
      </c>
      <c r="AB188" s="28">
        <f>ROUND(T188/MAX(Q188,1),3)</f>
        <v/>
      </c>
      <c r="AC188" s="32" t="inlineStr">
        <is>
          <t>—</t>
        </is>
      </c>
      <c r="AD188" s="32" t="inlineStr">
        <is>
          <t>Treated like Rabid Rabbit, the middle of the 5 most similar EN dishes: you left it unchanged</t>
        </is>
      </c>
      <c r="AE188" s="32" t="inlineStr">
        <is>
          <t>Rabid Rabbit (EN Lv17: unchanged)</t>
        </is>
      </c>
      <c r="AF188" s="32" t="inlineStr">
        <is>
          <t>Quasar Coffee, Puking Duck, Head Cheese Pizza, Nuke Fondue, Rabid Rabbit</t>
        </is>
      </c>
      <c r="AG188" s="32" t="inlineStr">
        <is>
          <t>Event dish: offline unlock undecided (START_HERE §8)</t>
        </is>
      </c>
      <c r="AH188" s="28" t="inlineStr"/>
      <c r="AI188" s="28" t="inlineStr"/>
      <c r="AJ188" s="28" t="inlineStr"/>
      <c r="AK188" s="28" t="inlineStr">
        <is>
          <t>こびとサラダ</t>
        </is>
      </c>
    </row>
    <row r="189">
      <c r="A189" s="28" t="n">
        <v>186</v>
      </c>
      <c r="B189" s="28" t="inlineStr">
        <is>
          <t>Biting Bigfoot Bun</t>
        </is>
      </c>
      <c r="C189" s="28" t="n">
        <v>6</v>
      </c>
      <c r="D189" s="28" t="inlineStr">
        <is>
          <t>Event recipe</t>
        </is>
      </c>
      <c r="E189" s="28" t="inlineStr">
        <is>
          <t>JP-only</t>
        </is>
      </c>
      <c r="F189" s="28" t="inlineStr"/>
      <c r="G189" s="35" t="inlineStr">
        <is>
          <t>EN pattern: hold</t>
        </is>
      </c>
      <c r="H189" s="30">
        <f>IF(W189&gt;0,X189/W189-1,"")</f>
        <v/>
      </c>
      <c r="I189" s="28" t="inlineStr"/>
      <c r="J189" s="28" t="inlineStr"/>
      <c r="K189" s="31" t="n">
        <v>500</v>
      </c>
      <c r="L189" s="28" t="n">
        <v>240</v>
      </c>
      <c r="M189" s="31" t="n">
        <v>220</v>
      </c>
      <c r="N189" s="28" t="n">
        <v>6</v>
      </c>
      <c r="O189" s="28" t="n">
        <v>70</v>
      </c>
      <c r="P189" s="31" t="n">
        <v>500</v>
      </c>
      <c r="Q189" s="28" t="n">
        <v>240</v>
      </c>
      <c r="R189" s="31" t="n">
        <v>220</v>
      </c>
      <c r="S189" s="28" t="n">
        <v>6</v>
      </c>
      <c r="T189" s="28" t="n">
        <v>70</v>
      </c>
      <c r="U189" s="31" t="n">
        <v>820</v>
      </c>
      <c r="V189" s="31">
        <f>R189*S189-P189</f>
        <v/>
      </c>
      <c r="W189" s="28" t="n">
        <v>3.42</v>
      </c>
      <c r="X189" s="28">
        <f>ROUND(V189/MAX(Q189,1),2)</f>
        <v/>
      </c>
      <c r="Y189" s="28" t="n">
        <v>1.64</v>
      </c>
      <c r="Z189" s="28">
        <f>IF(P189&gt;0,ROUND(V189/P189,2),"")</f>
        <v/>
      </c>
      <c r="AA189" s="28" t="n">
        <v>0.292</v>
      </c>
      <c r="AB189" s="28">
        <f>ROUND(T189/MAX(Q189,1),3)</f>
        <v/>
      </c>
      <c r="AC189" s="32" t="inlineStr">
        <is>
          <t>—</t>
        </is>
      </c>
      <c r="AD189" s="32" t="inlineStr">
        <is>
          <t>Treated like Leech Melba, the middle of the 5 most similar EN dishes: you changed it servings +2% (profit ×1.03)</t>
        </is>
      </c>
      <c r="AE189" s="32" t="inlineStr">
        <is>
          <t>Leech Melba (EN Lv26: servings +2%)</t>
        </is>
      </c>
      <c r="AF189" s="32" t="inlineStr">
        <is>
          <t>Leech Melba, Fish Bones &amp; Gold Chips, Spiderello, Beeline Honey Glazed "Ham", Entropy Cassoulet</t>
        </is>
      </c>
      <c r="AG189" s="32" t="inlineStr">
        <is>
          <t>Event dish: offline unlock undecided (START_HERE §8)</t>
        </is>
      </c>
      <c r="AH189" s="28" t="inlineStr"/>
      <c r="AI189" s="28" t="inlineStr"/>
      <c r="AJ189" s="28" t="inlineStr"/>
      <c r="AK189" s="28" t="inlineStr">
        <is>
          <t>噛みつきビックフットまん</t>
        </is>
      </c>
    </row>
    <row r="190">
      <c r="A190" s="28" t="n">
        <v>187</v>
      </c>
      <c r="B190" s="28" t="inlineStr">
        <is>
          <t>Garlic-Stuffed Vampire</t>
        </is>
      </c>
      <c r="C190" s="28" t="n">
        <v>22</v>
      </c>
      <c r="D190" s="28" t="inlineStr">
        <is>
          <t>Event recipe</t>
        </is>
      </c>
      <c r="E190" s="28" t="inlineStr">
        <is>
          <t>JP-only</t>
        </is>
      </c>
      <c r="F190" s="28" t="inlineStr"/>
      <c r="G190" s="35" t="inlineStr">
        <is>
          <t>EN pattern: hold</t>
        </is>
      </c>
      <c r="H190" s="30">
        <f>IF(W190&gt;0,X190/W190-1,"")</f>
        <v/>
      </c>
      <c r="I190" s="28" t="inlineStr"/>
      <c r="J190" s="28" t="inlineStr"/>
      <c r="K190" s="31" t="n">
        <v>1800</v>
      </c>
      <c r="L190" s="28" t="n">
        <v>150</v>
      </c>
      <c r="M190" s="31" t="n">
        <v>400</v>
      </c>
      <c r="N190" s="28" t="n">
        <v>9</v>
      </c>
      <c r="O190" s="28" t="n">
        <v>90</v>
      </c>
      <c r="P190" s="31" t="n">
        <v>1800</v>
      </c>
      <c r="Q190" s="28" t="n">
        <v>150</v>
      </c>
      <c r="R190" s="31" t="n">
        <v>400</v>
      </c>
      <c r="S190" s="28" t="n">
        <v>9</v>
      </c>
      <c r="T190" s="28" t="n">
        <v>90</v>
      </c>
      <c r="U190" s="31" t="n">
        <v>1800</v>
      </c>
      <c r="V190" s="31">
        <f>R190*S190-P190</f>
        <v/>
      </c>
      <c r="W190" s="28" t="n">
        <v>12</v>
      </c>
      <c r="X190" s="28">
        <f>ROUND(V190/MAX(Q190,1),2)</f>
        <v/>
      </c>
      <c r="Y190" s="28" t="n">
        <v>1</v>
      </c>
      <c r="Z190" s="28">
        <f>IF(P190&gt;0,ROUND(V190/P190,2),"")</f>
        <v/>
      </c>
      <c r="AA190" s="28" t="n">
        <v>0.6</v>
      </c>
      <c r="AB190" s="28">
        <f>ROUND(T190/MAX(Q190,1),3)</f>
        <v/>
      </c>
      <c r="AC190" s="32" t="inlineStr">
        <is>
          <t>—</t>
        </is>
      </c>
      <c r="AD190" s="32" t="inlineStr">
        <is>
          <t>Treated like Fish Bones &amp; Gold Chips, the middle of the 5 most similar EN dishes: you left it unchanged</t>
        </is>
      </c>
      <c r="AE190" s="32" t="inlineStr">
        <is>
          <t>Fish Bones &amp; Gold Chips (EN Lv12: unchanged)</t>
        </is>
      </c>
      <c r="AF190" s="32" t="inlineStr">
        <is>
          <t>Putrefied Clam Chowder, Leech Melba, Chili Chili Bang Bang, Fish Bones &amp; Gold Chips, Spiderello</t>
        </is>
      </c>
      <c r="AG190" s="32" t="inlineStr">
        <is>
          <t>Loose match: no EN dish is very close; Quick-cash dish already (12.0 $/min); Event dish: offline unlock undecided (START_HERE §8)</t>
        </is>
      </c>
      <c r="AH190" s="28" t="inlineStr"/>
      <c r="AI190" s="28" t="inlineStr"/>
      <c r="AJ190" s="28" t="inlineStr"/>
      <c r="AK190" s="28" t="inlineStr">
        <is>
          <t>ヴァンパイアのニンニク詰め</t>
        </is>
      </c>
    </row>
    <row r="191">
      <c r="A191" s="28" t="n">
        <v>188</v>
      </c>
      <c r="B191" s="28" t="inlineStr">
        <is>
          <t>Ukule-Curry</t>
        </is>
      </c>
      <c r="C191" s="28" t="n">
        <v>19</v>
      </c>
      <c r="D191" s="28" t="inlineStr">
        <is>
          <t>Event recipe</t>
        </is>
      </c>
      <c r="E191" s="28" t="inlineStr">
        <is>
          <t>JP-only</t>
        </is>
      </c>
      <c r="F191" s="28" t="inlineStr"/>
      <c r="G191" s="34" t="inlineStr">
        <is>
          <t>EN pattern: buff</t>
        </is>
      </c>
      <c r="H191" s="30">
        <f>IF(W191&gt;0,X191/W191-1,"")</f>
        <v/>
      </c>
      <c r="I191" s="28" t="inlineStr"/>
      <c r="J191" s="28" t="inlineStr"/>
      <c r="K191" s="31" t="n">
        <v>1200</v>
      </c>
      <c r="L191" s="28" t="n">
        <v>520</v>
      </c>
      <c r="M191" s="31" t="n">
        <v>650</v>
      </c>
      <c r="N191" s="28" t="n">
        <v>5</v>
      </c>
      <c r="O191" s="28" t="n">
        <v>125</v>
      </c>
      <c r="P191" s="31" t="n">
        <v>1200</v>
      </c>
      <c r="Q191" s="28" t="n">
        <v>520</v>
      </c>
      <c r="R191" s="31" t="n">
        <v>690</v>
      </c>
      <c r="S191" s="28" t="n">
        <v>5</v>
      </c>
      <c r="T191" s="28" t="n">
        <v>125</v>
      </c>
      <c r="U191" s="31" t="n">
        <v>2050</v>
      </c>
      <c r="V191" s="31">
        <f>R191*S191-P191</f>
        <v/>
      </c>
      <c r="W191" s="28" t="n">
        <v>3.94</v>
      </c>
      <c r="X191" s="28">
        <f>ROUND(V191/MAX(Q191,1),2)</f>
        <v/>
      </c>
      <c r="Y191" s="28" t="n">
        <v>1.71</v>
      </c>
      <c r="Z191" s="28">
        <f>IF(P191&gt;0,ROUND(V191/P191,2),"")</f>
        <v/>
      </c>
      <c r="AA191" s="28" t="n">
        <v>0.24</v>
      </c>
      <c r="AB191" s="28">
        <f>ROUND(T191/MAX(Q191,1),3)</f>
        <v/>
      </c>
      <c r="AC191" s="32" t="inlineStr">
        <is>
          <t>Servings 650-&gt;690 (+6%)</t>
        </is>
      </c>
      <c r="AD191" s="32" t="inlineStr">
        <is>
          <t>Treated like Festering Hot Chocolate, the middle of the 5 most similar EN dishes: you changed it servings +6% (profit ×1.10)</t>
        </is>
      </c>
      <c r="AE191" s="32" t="inlineStr">
        <is>
          <t>Festering Hot Chocolate (EN Lv20: servings +6%)</t>
        </is>
      </c>
      <c r="AF191" s="32" t="inlineStr">
        <is>
          <t>Chili Chili Bang Bang, Dark Matter Loaf, Festering Hot Chocolate, Entropy Cassoulet, Spiderello</t>
        </is>
      </c>
      <c r="AG191" s="32" t="inlineStr">
        <is>
          <t>Event dish: offline unlock undecided (START_HERE §8)</t>
        </is>
      </c>
      <c r="AH191" s="28" t="inlineStr"/>
      <c r="AI191" s="28" t="inlineStr"/>
      <c r="AJ191" s="28" t="inlineStr"/>
      <c r="AK191" s="28" t="inlineStr">
        <is>
          <t>ウクレカレー</t>
        </is>
      </c>
    </row>
    <row r="192">
      <c r="A192" s="28" t="n">
        <v>189</v>
      </c>
      <c r="B192" s="28" t="inlineStr">
        <is>
          <t>SSS Pizza</t>
        </is>
      </c>
      <c r="C192" s="28" t="n">
        <v>8</v>
      </c>
      <c r="D192" s="28" t="inlineStr">
        <is>
          <t>Event recipe</t>
        </is>
      </c>
      <c r="E192" s="28" t="inlineStr">
        <is>
          <t>JP-only</t>
        </is>
      </c>
      <c r="F192" s="28" t="inlineStr"/>
      <c r="G192" s="35" t="inlineStr">
        <is>
          <t>EN pattern: hold</t>
        </is>
      </c>
      <c r="H192" s="30">
        <f>IF(W192&gt;0,X192/W192-1,"")</f>
        <v/>
      </c>
      <c r="I192" s="28" t="inlineStr"/>
      <c r="J192" s="28" t="inlineStr"/>
      <c r="K192" s="31" t="n">
        <v>700</v>
      </c>
      <c r="L192" s="28" t="n">
        <v>240</v>
      </c>
      <c r="M192" s="31" t="n">
        <v>180</v>
      </c>
      <c r="N192" s="28" t="n">
        <v>12</v>
      </c>
      <c r="O192" s="28" t="n">
        <v>70</v>
      </c>
      <c r="P192" s="31" t="n">
        <v>700</v>
      </c>
      <c r="Q192" s="28" t="n">
        <v>240</v>
      </c>
      <c r="R192" s="31" t="n">
        <v>180</v>
      </c>
      <c r="S192" s="28" t="n">
        <v>12</v>
      </c>
      <c r="T192" s="28" t="n">
        <v>70</v>
      </c>
      <c r="U192" s="31" t="n">
        <v>1460</v>
      </c>
      <c r="V192" s="31">
        <f>R192*S192-P192</f>
        <v/>
      </c>
      <c r="W192" s="28" t="n">
        <v>6.08</v>
      </c>
      <c r="X192" s="28">
        <f>ROUND(V192/MAX(Q192,1),2)</f>
        <v/>
      </c>
      <c r="Y192" s="28" t="n">
        <v>2.09</v>
      </c>
      <c r="Z192" s="28">
        <f>IF(P192&gt;0,ROUND(V192/P192,2),"")</f>
        <v/>
      </c>
      <c r="AA192" s="28" t="n">
        <v>0.292</v>
      </c>
      <c r="AB192" s="28">
        <f>ROUND(T192/MAX(Q192,1),3)</f>
        <v/>
      </c>
      <c r="AC192" s="32" t="inlineStr">
        <is>
          <t>—</t>
        </is>
      </c>
      <c r="AD192" s="32" t="inlineStr">
        <is>
          <t>Treated like Leech Melba, the middle of the 5 most similar EN dishes: you changed it servings +2% (profit ×1.03)</t>
        </is>
      </c>
      <c r="AE192" s="32" t="inlineStr">
        <is>
          <t>Leech Melba (EN Lv26: servings +2%)</t>
        </is>
      </c>
      <c r="AF192" s="32" t="inlineStr">
        <is>
          <t>Leech Melba, Dark Matter Loaf, Tweet Loaf, Fish Bones &amp; Gold Chips, Putrefied Clam Chowder</t>
        </is>
      </c>
      <c r="AG192" s="32" t="inlineStr">
        <is>
          <t>Loose match: no EN dish is very close; Quick-cash dish already (6.1 $/min); Event dish: offline unlock undecided (START_HERE §8)</t>
        </is>
      </c>
      <c r="AH192" s="28" t="inlineStr"/>
      <c r="AI192" s="28" t="inlineStr"/>
      <c r="AJ192" s="28" t="inlineStr"/>
      <c r="AK192" s="28" t="inlineStr">
        <is>
          <t>SSSピザ</t>
        </is>
      </c>
    </row>
    <row r="193">
      <c r="A193" s="28" t="n">
        <v>190</v>
      </c>
      <c r="B193" s="28" t="inlineStr">
        <is>
          <t>Tiger-Bone Burger</t>
        </is>
      </c>
      <c r="C193" s="28" t="n">
        <v>23</v>
      </c>
      <c r="D193" s="28" t="inlineStr">
        <is>
          <t>Event recipe</t>
        </is>
      </c>
      <c r="E193" s="28" t="inlineStr">
        <is>
          <t>JP-only</t>
        </is>
      </c>
      <c r="F193" s="28" t="inlineStr"/>
      <c r="G193" s="34" t="inlineStr">
        <is>
          <t>EN pattern: buff</t>
        </is>
      </c>
      <c r="H193" s="30">
        <f>IF(W193&gt;0,X193/W193-1,"")</f>
        <v/>
      </c>
      <c r="I193" s="28" t="inlineStr"/>
      <c r="J193" s="28" t="inlineStr"/>
      <c r="K193" s="31" t="n">
        <v>3500</v>
      </c>
      <c r="L193" s="28" t="n">
        <v>1440</v>
      </c>
      <c r="M193" s="31" t="n">
        <v>800</v>
      </c>
      <c r="N193" s="28" t="n">
        <v>9</v>
      </c>
      <c r="O193" s="28" t="n">
        <v>85</v>
      </c>
      <c r="P193" s="31" t="n">
        <v>2425</v>
      </c>
      <c r="Q193" s="28" t="n">
        <v>1440</v>
      </c>
      <c r="R193" s="31" t="n">
        <v>800</v>
      </c>
      <c r="S193" s="28" t="n">
        <v>9</v>
      </c>
      <c r="T193" s="28" t="n">
        <v>85</v>
      </c>
      <c r="U193" s="31" t="n">
        <v>3700</v>
      </c>
      <c r="V193" s="31">
        <f>R193*S193-P193</f>
        <v/>
      </c>
      <c r="W193" s="28" t="n">
        <v>2.57</v>
      </c>
      <c r="X193" s="28">
        <f>ROUND(V193/MAX(Q193,1),2)</f>
        <v/>
      </c>
      <c r="Y193" s="28" t="n">
        <v>1.06</v>
      </c>
      <c r="Z193" s="28">
        <f>IF(P193&gt;0,ROUND(V193/P193,2),"")</f>
        <v/>
      </c>
      <c r="AA193" s="28" t="n">
        <v>0.059</v>
      </c>
      <c r="AB193" s="28">
        <f>ROUND(T193/MAX(Q193,1),3)</f>
        <v/>
      </c>
      <c r="AC193" s="32" t="inlineStr">
        <is>
          <t>Cost 3,500-&gt;2,425 (-31%)</t>
        </is>
      </c>
      <c r="AD193" s="32" t="inlineStr">
        <is>
          <t>Treated like Deep Fried Bacon Wrapped Pizza, the middle of the 5 most similar EN dishes: you changed it cost -30%, servings -16% (profit ×1.01)</t>
        </is>
      </c>
      <c r="AE193" s="32" t="inlineStr">
        <is>
          <t>Deep Fried Bacon Wrapped Pizza (EN Lv29: cost -30%, servings -16%)</t>
        </is>
      </c>
      <c r="AF193" s="32" t="inlineStr">
        <is>
          <t>Deep Fried Bacon Wrapped Pizza, String (Theory) Cheese, Pigs in a Blanket, Quasar Coffee, Puking Duck</t>
        </is>
      </c>
      <c r="AG193" s="32" t="inlineStr">
        <is>
          <t>Event dish: offline unlock undecided (START_HERE §8)</t>
        </is>
      </c>
      <c r="AH193" s="28" t="inlineStr"/>
      <c r="AI193" s="28" t="inlineStr"/>
      <c r="AJ193" s="28" t="inlineStr"/>
      <c r="AK193" s="28" t="inlineStr">
        <is>
          <t>トラがらバーガー</t>
        </is>
      </c>
    </row>
    <row r="194">
      <c r="A194" s="28" t="n">
        <v>191</v>
      </c>
      <c r="B194" s="28" t="inlineStr">
        <is>
          <t>Finger Dango</t>
        </is>
      </c>
      <c r="C194" s="28" t="n">
        <v>24</v>
      </c>
      <c r="D194" s="28" t="inlineStr">
        <is>
          <t>Event recipe</t>
        </is>
      </c>
      <c r="E194" s="28" t="inlineStr">
        <is>
          <t>JP-only</t>
        </is>
      </c>
      <c r="F194" s="28" t="inlineStr"/>
      <c r="G194" s="35" t="inlineStr">
        <is>
          <t>EN pattern: hold</t>
        </is>
      </c>
      <c r="H194" s="30">
        <f>IF(W194&gt;0,X194/W194-1,"")</f>
        <v/>
      </c>
      <c r="I194" s="28" t="inlineStr"/>
      <c r="J194" s="28" t="inlineStr"/>
      <c r="K194" s="31" t="n">
        <v>1000</v>
      </c>
      <c r="L194" s="28" t="n">
        <v>150</v>
      </c>
      <c r="M194" s="31" t="n">
        <v>300</v>
      </c>
      <c r="N194" s="28" t="n">
        <v>8</v>
      </c>
      <c r="O194" s="28" t="n">
        <v>100</v>
      </c>
      <c r="P194" s="31" t="n">
        <v>1000</v>
      </c>
      <c r="Q194" s="28" t="n">
        <v>150</v>
      </c>
      <c r="R194" s="31" t="n">
        <v>300</v>
      </c>
      <c r="S194" s="28" t="n">
        <v>8</v>
      </c>
      <c r="T194" s="28" t="n">
        <v>100</v>
      </c>
      <c r="U194" s="31" t="n">
        <v>1400</v>
      </c>
      <c r="V194" s="31">
        <f>R194*S194-P194</f>
        <v/>
      </c>
      <c r="W194" s="28" t="n">
        <v>9.33</v>
      </c>
      <c r="X194" s="28">
        <f>ROUND(V194/MAX(Q194,1),2)</f>
        <v/>
      </c>
      <c r="Y194" s="28" t="n">
        <v>1.4</v>
      </c>
      <c r="Z194" s="28">
        <f>IF(P194&gt;0,ROUND(V194/P194,2),"")</f>
        <v/>
      </c>
      <c r="AA194" s="28" t="n">
        <v>0.667</v>
      </c>
      <c r="AB194" s="28">
        <f>ROUND(T194/MAX(Q194,1),3)</f>
        <v/>
      </c>
      <c r="AC194" s="32" t="inlineStr">
        <is>
          <t>—</t>
        </is>
      </c>
      <c r="AD194" s="32" t="inlineStr">
        <is>
          <t>Treated like Leech Melba, the middle of the 5 most similar EN dishes: you changed it servings +2% (profit ×1.03)</t>
        </is>
      </c>
      <c r="AE194" s="32" t="inlineStr">
        <is>
          <t>Leech Melba (EN Lv26: servings +2%)</t>
        </is>
      </c>
      <c r="AF194" s="32" t="inlineStr">
        <is>
          <t>Putrefied Clam Chowder, Leech Melba, Fish Bones &amp; Gold Chips, Tweet Loaf, Dark Matter Loaf</t>
        </is>
      </c>
      <c r="AG194" s="32" t="inlineStr">
        <is>
          <t>Loose match: no EN dish is very close; Quick-cash dish already (9.3 $/min); Event dish: offline unlock undecided (START_HERE §8)</t>
        </is>
      </c>
      <c r="AH194" s="28" t="inlineStr"/>
      <c r="AI194" s="28" t="inlineStr"/>
      <c r="AJ194" s="28" t="inlineStr"/>
      <c r="AK194" s="28" t="inlineStr">
        <is>
          <t>指団子</t>
        </is>
      </c>
    </row>
    <row r="195">
      <c r="A195" s="28" t="n">
        <v>192</v>
      </c>
      <c r="B195" s="28" t="inlineStr">
        <is>
          <t>Salmon Roe Boat</t>
        </is>
      </c>
      <c r="C195" s="28" t="n">
        <v>30</v>
      </c>
      <c r="D195" s="28" t="inlineStr">
        <is>
          <t>Event recipe</t>
        </is>
      </c>
      <c r="E195" s="28" t="inlineStr">
        <is>
          <t>JP-only</t>
        </is>
      </c>
      <c r="F195" s="28" t="inlineStr"/>
      <c r="G195" s="34" t="inlineStr">
        <is>
          <t>EN pattern: buff</t>
        </is>
      </c>
      <c r="H195" s="30">
        <f>IF(W195&gt;0,X195/W195-1,"")</f>
        <v/>
      </c>
      <c r="I195" s="28" t="inlineStr"/>
      <c r="J195" s="28" t="inlineStr"/>
      <c r="K195" s="31" t="n">
        <v>2000</v>
      </c>
      <c r="L195" s="28" t="n">
        <v>720</v>
      </c>
      <c r="M195" s="31" t="n">
        <v>500</v>
      </c>
      <c r="N195" s="28" t="n">
        <v>9</v>
      </c>
      <c r="O195" s="28" t="n">
        <v>105</v>
      </c>
      <c r="P195" s="31" t="n">
        <v>1375</v>
      </c>
      <c r="Q195" s="28" t="n">
        <v>720</v>
      </c>
      <c r="R195" s="31" t="n">
        <v>500</v>
      </c>
      <c r="S195" s="28" t="n">
        <v>9</v>
      </c>
      <c r="T195" s="28" t="n">
        <v>105</v>
      </c>
      <c r="U195" s="31" t="n">
        <v>2500</v>
      </c>
      <c r="V195" s="31">
        <f>R195*S195-P195</f>
        <v/>
      </c>
      <c r="W195" s="28" t="n">
        <v>3.47</v>
      </c>
      <c r="X195" s="28">
        <f>ROUND(V195/MAX(Q195,1),2)</f>
        <v/>
      </c>
      <c r="Y195" s="28" t="n">
        <v>1.25</v>
      </c>
      <c r="Z195" s="28">
        <f>IF(P195&gt;0,ROUND(V195/P195,2),"")</f>
        <v/>
      </c>
      <c r="AA195" s="28" t="n">
        <v>0.146</v>
      </c>
      <c r="AB195" s="28">
        <f>ROUND(T195/MAX(Q195,1),3)</f>
        <v/>
      </c>
      <c r="AC195" s="32" t="inlineStr">
        <is>
          <t>Cost 2,000-&gt;1,375 (-31%)</t>
        </is>
      </c>
      <c r="AD195" s="32" t="inlineStr">
        <is>
          <t>Treated like Deep Fried Bacon Wrapped Pizza, the middle of the 5 most similar EN dishes: you changed it cost -30%, servings -16% (profit ×1.01)</t>
        </is>
      </c>
      <c r="AE195" s="32" t="inlineStr">
        <is>
          <t>Deep Fried Bacon Wrapped Pizza (EN Lv29: cost -30%, servings -16%)</t>
        </is>
      </c>
      <c r="AF195" s="32" t="inlineStr">
        <is>
          <t>Deep Fried Bacon Wrapped Pizza, Quasar Coffee, Broxy, Blueberry Fangcake, Chili Chili Bang Bang</t>
        </is>
      </c>
      <c r="AG195" s="32" t="inlineStr">
        <is>
          <t>Event dish: offline unlock undecided (START_HERE §8)</t>
        </is>
      </c>
      <c r="AH195" s="28" t="inlineStr"/>
      <c r="AI195" s="28" t="inlineStr"/>
      <c r="AJ195" s="28" t="inlineStr"/>
      <c r="AK195" s="28" t="inlineStr">
        <is>
          <t>イクラの舟盛り</t>
        </is>
      </c>
    </row>
    <row r="196">
      <c r="A196" s="28" t="n">
        <v>193</v>
      </c>
      <c r="B196" s="28" t="inlineStr">
        <is>
          <t>Tropical Brain Juice</t>
        </is>
      </c>
      <c r="C196" s="28" t="n">
        <v>13</v>
      </c>
      <c r="D196" s="28" t="inlineStr">
        <is>
          <t>Event recipe</t>
        </is>
      </c>
      <c r="E196" s="28" t="inlineStr">
        <is>
          <t>JP-only</t>
        </is>
      </c>
      <c r="F196" s="28" t="inlineStr"/>
      <c r="G196" s="35" t="inlineStr">
        <is>
          <t>EN pattern: hold</t>
        </is>
      </c>
      <c r="H196" s="30">
        <f>IF(W196&gt;0,X196/W196-1,"")</f>
        <v/>
      </c>
      <c r="I196" s="28" t="inlineStr"/>
      <c r="J196" s="28" t="inlineStr"/>
      <c r="K196" s="31" t="n">
        <v>900</v>
      </c>
      <c r="L196" s="28" t="n">
        <v>90</v>
      </c>
      <c r="M196" s="31" t="n">
        <v>280</v>
      </c>
      <c r="N196" s="28" t="n">
        <v>7</v>
      </c>
      <c r="O196" s="28" t="n">
        <v>50</v>
      </c>
      <c r="P196" s="31" t="n">
        <v>900</v>
      </c>
      <c r="Q196" s="28" t="n">
        <v>90</v>
      </c>
      <c r="R196" s="31" t="n">
        <v>280</v>
      </c>
      <c r="S196" s="28" t="n">
        <v>7</v>
      </c>
      <c r="T196" s="28" t="n">
        <v>50</v>
      </c>
      <c r="U196" s="31" t="n">
        <v>1060</v>
      </c>
      <c r="V196" s="31">
        <f>R196*S196-P196</f>
        <v/>
      </c>
      <c r="W196" s="28" t="n">
        <v>11.78</v>
      </c>
      <c r="X196" s="28">
        <f>ROUND(V196/MAX(Q196,1),2)</f>
        <v/>
      </c>
      <c r="Y196" s="28" t="n">
        <v>1.18</v>
      </c>
      <c r="Z196" s="28">
        <f>IF(P196&gt;0,ROUND(V196/P196,2),"")</f>
        <v/>
      </c>
      <c r="AA196" s="28" t="n">
        <v>0.556</v>
      </c>
      <c r="AB196" s="28">
        <f>ROUND(T196/MAX(Q196,1),3)</f>
        <v/>
      </c>
      <c r="AC196" s="32" t="inlineStr">
        <is>
          <t>—</t>
        </is>
      </c>
      <c r="AD196" s="32" t="inlineStr">
        <is>
          <t>Treated like Caramel Adam's Apple, the middle of the 5 most similar EN dishes: you left it unchanged</t>
        </is>
      </c>
      <c r="AE196" s="32" t="inlineStr">
        <is>
          <t>Caramel Adam's Apple (EN Lv5: unchanged)</t>
        </is>
      </c>
      <c r="AF196" s="32" t="inlineStr">
        <is>
          <t>Putrefied Clam Chowder, Sandwitch, Leech Melba, Caramel Adam's Apple, Fish Bones &amp; Gold Chips</t>
        </is>
      </c>
      <c r="AG196" s="32" t="inlineStr">
        <is>
          <t>Loose match: no EN dish is very close; Quick-cash dish already (11.8 $/min); Event dish: offline unlock undecided (START_HERE §8)</t>
        </is>
      </c>
      <c r="AH196" s="28" t="inlineStr"/>
      <c r="AI196" s="28" t="inlineStr"/>
      <c r="AJ196" s="28" t="inlineStr"/>
      <c r="AK196" s="28" t="inlineStr">
        <is>
          <t>トロピカル脳ジュース</t>
        </is>
      </c>
    </row>
    <row r="197">
      <c r="A197" s="28" t="n">
        <v>194</v>
      </c>
      <c r="B197" s="28" t="inlineStr">
        <is>
          <t>Hand-Made Hotpot</t>
        </is>
      </c>
      <c r="C197" s="28" t="n">
        <v>63</v>
      </c>
      <c r="D197" s="28" t="inlineStr">
        <is>
          <t>Level track</t>
        </is>
      </c>
      <c r="E197" s="28" t="inlineStr">
        <is>
          <t>JP-only</t>
        </is>
      </c>
      <c r="F197" s="28" t="inlineStr"/>
      <c r="G197" s="35" t="inlineStr">
        <is>
          <t>EN pattern: hold</t>
        </is>
      </c>
      <c r="H197" s="30">
        <f>IF(W197&gt;0,X197/W197-1,"")</f>
        <v/>
      </c>
      <c r="I197" s="28" t="inlineStr"/>
      <c r="J197" s="28" t="inlineStr"/>
      <c r="K197" s="31" t="n">
        <v>3200</v>
      </c>
      <c r="L197" s="28" t="n">
        <v>1440</v>
      </c>
      <c r="M197" s="31" t="n">
        <v>1400</v>
      </c>
      <c r="N197" s="28" t="n">
        <v>5</v>
      </c>
      <c r="O197" s="28" t="n">
        <v>120</v>
      </c>
      <c r="P197" s="31" t="n">
        <v>3200</v>
      </c>
      <c r="Q197" s="28" t="n">
        <v>1440</v>
      </c>
      <c r="R197" s="31" t="n">
        <v>1400</v>
      </c>
      <c r="S197" s="28" t="n">
        <v>5</v>
      </c>
      <c r="T197" s="28" t="n">
        <v>120</v>
      </c>
      <c r="U197" s="31" t="n">
        <v>3800</v>
      </c>
      <c r="V197" s="31">
        <f>R197*S197-P197</f>
        <v/>
      </c>
      <c r="W197" s="28" t="n">
        <v>2.64</v>
      </c>
      <c r="X197" s="28">
        <f>ROUND(V197/MAX(Q197,1),2)</f>
        <v/>
      </c>
      <c r="Y197" s="28" t="n">
        <v>1.19</v>
      </c>
      <c r="Z197" s="28">
        <f>IF(P197&gt;0,ROUND(V197/P197,2),"")</f>
        <v/>
      </c>
      <c r="AA197" s="28" t="n">
        <v>0.083</v>
      </c>
      <c r="AB197" s="28">
        <f>ROUND(T197/MAX(Q197,1),3)</f>
        <v/>
      </c>
      <c r="AC197" s="32" t="inlineStr">
        <is>
          <t>—</t>
        </is>
      </c>
      <c r="AD197" s="32" t="inlineStr">
        <is>
          <t>Treated like Riga Tony, the middle of the 5 most similar EN dishes: you left it unchanged</t>
        </is>
      </c>
      <c r="AE197" s="32" t="inlineStr">
        <is>
          <t>Riga Tony (EN Lv62: unchanged)</t>
        </is>
      </c>
      <c r="AF197" s="32" t="inlineStr">
        <is>
          <t>Vamp Burger, Piranha Stew, Riga Tony, Greasy Grizzly, Mandragora Dip</t>
        </is>
      </c>
      <c r="AG197" s="32" t="inlineStr"/>
      <c r="AH197" s="28" t="inlineStr"/>
      <c r="AI197" s="28" t="inlineStr"/>
      <c r="AJ197" s="28" t="inlineStr"/>
      <c r="AK197" s="28" t="inlineStr">
        <is>
          <t>Handメイド鍋</t>
        </is>
      </c>
    </row>
    <row r="198">
      <c r="A198" s="28" t="n">
        <v>195</v>
      </c>
      <c r="B198" s="28" t="inlineStr">
        <is>
          <t>Fish &amp; Coins</t>
        </is>
      </c>
      <c r="C198" s="28" t="n">
        <v>14</v>
      </c>
      <c r="D198" s="28" t="inlineStr">
        <is>
          <t>Event recipe</t>
        </is>
      </c>
      <c r="E198" s="28" t="inlineStr">
        <is>
          <t>JP-only</t>
        </is>
      </c>
      <c r="F198" s="28" t="inlineStr"/>
      <c r="G198" s="35" t="inlineStr">
        <is>
          <t>EN pattern: hold</t>
        </is>
      </c>
      <c r="H198" s="30">
        <f>IF(W198&gt;0,X198/W198-1,"")</f>
        <v/>
      </c>
      <c r="I198" s="28" t="inlineStr"/>
      <c r="J198" s="28" t="inlineStr"/>
      <c r="K198" s="31" t="n">
        <v>1100</v>
      </c>
      <c r="L198" s="28" t="n">
        <v>440</v>
      </c>
      <c r="M198" s="31" t="n">
        <v>280</v>
      </c>
      <c r="N198" s="28" t="n">
        <v>8</v>
      </c>
      <c r="O198" s="28" t="n">
        <v>65</v>
      </c>
      <c r="P198" s="31" t="n">
        <v>1100</v>
      </c>
      <c r="Q198" s="28" t="n">
        <v>440</v>
      </c>
      <c r="R198" s="31" t="n">
        <v>280</v>
      </c>
      <c r="S198" s="28" t="n">
        <v>8</v>
      </c>
      <c r="T198" s="28" t="n">
        <v>65</v>
      </c>
      <c r="U198" s="31" t="n">
        <v>1140</v>
      </c>
      <c r="V198" s="31">
        <f>R198*S198-P198</f>
        <v/>
      </c>
      <c r="W198" s="28" t="n">
        <v>2.59</v>
      </c>
      <c r="X198" s="28">
        <f>ROUND(V198/MAX(Q198,1),2)</f>
        <v/>
      </c>
      <c r="Y198" s="28" t="n">
        <v>1.04</v>
      </c>
      <c r="Z198" s="28">
        <f>IF(P198&gt;0,ROUND(V198/P198,2),"")</f>
        <v/>
      </c>
      <c r="AA198" s="28" t="n">
        <v>0.148</v>
      </c>
      <c r="AB198" s="28">
        <f>ROUND(T198/MAX(Q198,1),3)</f>
        <v/>
      </c>
      <c r="AC198" s="32" t="inlineStr">
        <is>
          <t>—</t>
        </is>
      </c>
      <c r="AD198" s="32" t="inlineStr">
        <is>
          <t>Treated like Knuckle Sandwich, the middle of the 5 most similar EN dishes: you changed it cost -1% (profit ×1.00)</t>
        </is>
      </c>
      <c r="AE198" s="32" t="inlineStr">
        <is>
          <t>Knuckle Sandwich (EN Lv28: cost -1%)</t>
        </is>
      </c>
      <c r="AF198" s="32" t="inlineStr">
        <is>
          <t>Chili Chili Bang Bang, Entropy Cassoulet, Knuckle Sandwich, Festering Hot Chocolate, Fried Snakeroll</t>
        </is>
      </c>
      <c r="AG198" s="32" t="inlineStr">
        <is>
          <t>Event dish: offline unlock undecided (START_HERE §8)</t>
        </is>
      </c>
      <c r="AH198" s="28" t="inlineStr"/>
      <c r="AI198" s="28" t="inlineStr"/>
      <c r="AJ198" s="28" t="inlineStr"/>
      <c r="AK198" s="28" t="inlineStr">
        <is>
          <t>フィッシュ＆コイン</t>
        </is>
      </c>
    </row>
    <row r="199">
      <c r="A199" s="28" t="n">
        <v>196</v>
      </c>
      <c r="B199" s="28" t="inlineStr">
        <is>
          <t>4th Anniversary Chirashi Sushi</t>
        </is>
      </c>
      <c r="C199" s="28" t="n">
        <v>4</v>
      </c>
      <c r="D199" s="28" t="inlineStr">
        <is>
          <t>Event recipe</t>
        </is>
      </c>
      <c r="E199" s="28" t="inlineStr">
        <is>
          <t>JP-only</t>
        </is>
      </c>
      <c r="F199" s="28" t="inlineStr"/>
      <c r="G199" s="34" t="inlineStr">
        <is>
          <t>EN pattern: buff</t>
        </is>
      </c>
      <c r="H199" s="30">
        <f>IF(W199&gt;0,X199/W199-1,"")</f>
        <v/>
      </c>
      <c r="I199" s="28" t="inlineStr"/>
      <c r="J199" s="28" t="inlineStr"/>
      <c r="K199" s="31" t="n">
        <v>900</v>
      </c>
      <c r="L199" s="28" t="n">
        <v>660</v>
      </c>
      <c r="M199" s="31" t="n">
        <v>444</v>
      </c>
      <c r="N199" s="28" t="n">
        <v>8</v>
      </c>
      <c r="O199" s="28" t="n">
        <v>85</v>
      </c>
      <c r="P199" s="31" t="n">
        <v>520</v>
      </c>
      <c r="Q199" s="28" t="n">
        <v>660</v>
      </c>
      <c r="R199" s="31" t="n">
        <v>444</v>
      </c>
      <c r="S199" s="28" t="n">
        <v>8</v>
      </c>
      <c r="T199" s="28" t="n">
        <v>85</v>
      </c>
      <c r="U199" s="31" t="n">
        <v>2652</v>
      </c>
      <c r="V199" s="31">
        <f>R199*S199-P199</f>
        <v/>
      </c>
      <c r="W199" s="28" t="n">
        <v>4.02</v>
      </c>
      <c r="X199" s="28">
        <f>ROUND(V199/MAX(Q199,1),2)</f>
        <v/>
      </c>
      <c r="Y199" s="28" t="n">
        <v>2.95</v>
      </c>
      <c r="Z199" s="28">
        <f>IF(P199&gt;0,ROUND(V199/P199,2),"")</f>
        <v/>
      </c>
      <c r="AA199" s="28" t="n">
        <v>0.129</v>
      </c>
      <c r="AB199" s="28">
        <f>ROUND(T199/MAX(Q199,1),3)</f>
        <v/>
      </c>
      <c r="AC199" s="32" t="inlineStr">
        <is>
          <t>Cost 900-&gt;520 (-42%)</t>
        </is>
      </c>
      <c r="AD199" s="32" t="inlineStr">
        <is>
          <t>Treated like Dark Matter Loaf, the middle of the 5 most similar EN dishes: you changed it servings +10% (profit ×1.14)</t>
        </is>
      </c>
      <c r="AE199" s="32" t="inlineStr">
        <is>
          <t>Dark Matter Loaf (EN Lv25: servings +10%)</t>
        </is>
      </c>
      <c r="AF199" s="32" t="inlineStr">
        <is>
          <t>Dark Matter Loaf, Entropy Cassoulet, Festering Hot Chocolate, Chili Chili Bang Bang, Chicken Fried Snake</t>
        </is>
      </c>
      <c r="AG199" s="32" t="inlineStr">
        <is>
          <t>Flavour/bulk number kept; gain moved to another number; Event dish: offline unlock undecided (START_HERE §8)</t>
        </is>
      </c>
      <c r="AH199" s="28" t="inlineStr"/>
      <c r="AI199" s="28" t="inlineStr"/>
      <c r="AJ199" s="28" t="inlineStr"/>
      <c r="AK199" s="28" t="inlineStr">
        <is>
          <t>４周年ちらし寿司</t>
        </is>
      </c>
    </row>
    <row r="200">
      <c r="A200" s="28" t="n">
        <v>197</v>
      </c>
      <c r="B200" s="28" t="inlineStr">
        <is>
          <t>Roast Bionic Pigeon</t>
        </is>
      </c>
      <c r="C200" s="28" t="n">
        <v>11</v>
      </c>
      <c r="D200" s="28" t="inlineStr">
        <is>
          <t>Event recipe</t>
        </is>
      </c>
      <c r="E200" s="28" t="inlineStr">
        <is>
          <t>JP-only</t>
        </is>
      </c>
      <c r="F200" s="28" t="inlineStr"/>
      <c r="G200" s="35" t="inlineStr">
        <is>
          <t>EN pattern: hold</t>
        </is>
      </c>
      <c r="H200" s="30">
        <f>IF(W200&gt;0,X200/W200-1,"")</f>
        <v/>
      </c>
      <c r="I200" s="28" t="inlineStr"/>
      <c r="J200" s="28" t="inlineStr"/>
      <c r="K200" s="31" t="n">
        <v>1200</v>
      </c>
      <c r="L200" s="28" t="n">
        <v>960</v>
      </c>
      <c r="M200" s="31" t="n">
        <v>350</v>
      </c>
      <c r="N200" s="28" t="n">
        <v>7</v>
      </c>
      <c r="O200" s="28" t="n">
        <v>110</v>
      </c>
      <c r="P200" s="31" t="n">
        <v>1200</v>
      </c>
      <c r="Q200" s="28" t="n">
        <v>960</v>
      </c>
      <c r="R200" s="31" t="n">
        <v>350</v>
      </c>
      <c r="S200" s="28" t="n">
        <v>7</v>
      </c>
      <c r="T200" s="28" t="n">
        <v>110</v>
      </c>
      <c r="U200" s="31" t="n">
        <v>1250</v>
      </c>
      <c r="V200" s="31">
        <f>R200*S200-P200</f>
        <v/>
      </c>
      <c r="W200" s="28" t="n">
        <v>1.3</v>
      </c>
      <c r="X200" s="28">
        <f>ROUND(V200/MAX(Q200,1),2)</f>
        <v/>
      </c>
      <c r="Y200" s="28" t="n">
        <v>1.04</v>
      </c>
      <c r="Z200" s="28">
        <f>IF(P200&gt;0,ROUND(V200/P200,2),"")</f>
        <v/>
      </c>
      <c r="AA200" s="28" t="n">
        <v>0.115</v>
      </c>
      <c r="AB200" s="28">
        <f>ROUND(T200/MAX(Q200,1),3)</f>
        <v/>
      </c>
      <c r="AC200" s="32" t="inlineStr">
        <is>
          <t>—</t>
        </is>
      </c>
      <c r="AD200" s="32" t="inlineStr">
        <is>
          <t>Treated like Nuke Fondue, the middle of the 5 most similar EN dishes: you left it unchanged</t>
        </is>
      </c>
      <c r="AE200" s="32" t="inlineStr">
        <is>
          <t>Nuke Fondue (EN Lv14: unchanged)</t>
        </is>
      </c>
      <c r="AF200" s="32" t="inlineStr">
        <is>
          <t>Puking Duck, Rabid Rabbit, Quasar Coffee, Fried Snakeroll, Nuke Fondue</t>
        </is>
      </c>
      <c r="AG200" s="32" t="inlineStr">
        <is>
          <t>Event dish: offline unlock undecided (START_HERE §8)</t>
        </is>
      </c>
      <c r="AH200" s="28" t="inlineStr"/>
      <c r="AI200" s="28" t="inlineStr"/>
      <c r="AJ200" s="28" t="inlineStr"/>
      <c r="AK200" s="28" t="inlineStr">
        <is>
          <t>ロースト強化ハト</t>
        </is>
      </c>
    </row>
    <row r="201">
      <c r="A201" s="28" t="n">
        <v>198</v>
      </c>
      <c r="B201" s="28" t="inlineStr">
        <is>
          <t>Bone Flakes</t>
        </is>
      </c>
      <c r="C201" s="28" t="n">
        <v>19</v>
      </c>
      <c r="D201" s="28" t="inlineStr">
        <is>
          <t>Event recipe</t>
        </is>
      </c>
      <c r="E201" s="28" t="inlineStr">
        <is>
          <t>JP-only</t>
        </is>
      </c>
      <c r="F201" s="28" t="inlineStr"/>
      <c r="G201" s="35" t="inlineStr">
        <is>
          <t>EN pattern: hold</t>
        </is>
      </c>
      <c r="H201" s="30">
        <f>IF(W201&gt;0,X201/W201-1,"")</f>
        <v/>
      </c>
      <c r="I201" s="28" t="inlineStr"/>
      <c r="J201" s="28" t="inlineStr"/>
      <c r="K201" s="31" t="n">
        <v>1000</v>
      </c>
      <c r="L201" s="28" t="n">
        <v>1200</v>
      </c>
      <c r="M201" s="31" t="n">
        <v>720</v>
      </c>
      <c r="N201" s="28" t="n">
        <v>5</v>
      </c>
      <c r="O201" s="28" t="n">
        <v>135</v>
      </c>
      <c r="P201" s="31" t="n">
        <v>1000</v>
      </c>
      <c r="Q201" s="28" t="n">
        <v>1200</v>
      </c>
      <c r="R201" s="31" t="n">
        <v>720</v>
      </c>
      <c r="S201" s="28" t="n">
        <v>5</v>
      </c>
      <c r="T201" s="28" t="n">
        <v>135</v>
      </c>
      <c r="U201" s="31" t="n">
        <v>2600</v>
      </c>
      <c r="V201" s="31">
        <f>R201*S201-P201</f>
        <v/>
      </c>
      <c r="W201" s="28" t="n">
        <v>2.17</v>
      </c>
      <c r="X201" s="28">
        <f>ROUND(V201/MAX(Q201,1),2)</f>
        <v/>
      </c>
      <c r="Y201" s="28" t="n">
        <v>2.6</v>
      </c>
      <c r="Z201" s="28">
        <f>IF(P201&gt;0,ROUND(V201/P201,2),"")</f>
        <v/>
      </c>
      <c r="AA201" s="28" t="n">
        <v>0.113</v>
      </c>
      <c r="AB201" s="28">
        <f>ROUND(T201/MAX(Q201,1),3)</f>
        <v/>
      </c>
      <c r="AC201" s="32" t="inlineStr">
        <is>
          <t>—</t>
        </is>
      </c>
      <c r="AD201" s="32" t="inlineStr">
        <is>
          <t>Treated like Head Cheese Pizza, the middle of the 5 most similar EN dishes: you left it unchanged</t>
        </is>
      </c>
      <c r="AE201" s="32" t="inlineStr">
        <is>
          <t>Head Cheese Pizza (EN Lv31: unchanged)</t>
        </is>
      </c>
      <c r="AF201" s="32" t="inlineStr">
        <is>
          <t>Quasar Coffee, Puking Duck, Nuke Fondue, Jumble Eye-ah, Head Cheese Pizza</t>
        </is>
      </c>
      <c r="AG201" s="32" t="inlineStr">
        <is>
          <t>Event dish: offline unlock undecided (START_HERE §8)</t>
        </is>
      </c>
      <c r="AH201" s="28" t="inlineStr"/>
      <c r="AI201" s="28" t="inlineStr"/>
      <c r="AJ201" s="28" t="inlineStr"/>
      <c r="AK201" s="28" t="inlineStr">
        <is>
          <t>ボーンフレーク</t>
        </is>
      </c>
    </row>
    <row r="202">
      <c r="A202" s="28" t="n">
        <v>199</v>
      </c>
      <c r="B202" s="28" t="inlineStr">
        <is>
          <t>Hand-Wich</t>
        </is>
      </c>
      <c r="C202" s="28" t="n">
        <v>64</v>
      </c>
      <c r="D202" s="28" t="inlineStr">
        <is>
          <t>Level track</t>
        </is>
      </c>
      <c r="E202" s="28" t="inlineStr">
        <is>
          <t>JP-only</t>
        </is>
      </c>
      <c r="F202" s="28" t="inlineStr"/>
      <c r="G202" s="35" t="inlineStr">
        <is>
          <t>EN pattern: hold</t>
        </is>
      </c>
      <c r="H202" s="30">
        <f>IF(W202&gt;0,X202/W202-1,"")</f>
        <v/>
      </c>
      <c r="I202" s="28" t="inlineStr"/>
      <c r="J202" s="28" t="inlineStr"/>
      <c r="K202" s="31" t="n">
        <v>2500</v>
      </c>
      <c r="L202" s="28" t="n">
        <v>400</v>
      </c>
      <c r="M202" s="31" t="n">
        <v>800</v>
      </c>
      <c r="N202" s="28" t="n">
        <v>6</v>
      </c>
      <c r="O202" s="28" t="n">
        <v>100</v>
      </c>
      <c r="P202" s="31" t="n">
        <v>2500</v>
      </c>
      <c r="Q202" s="28" t="n">
        <v>400</v>
      </c>
      <c r="R202" s="31" t="n">
        <v>800</v>
      </c>
      <c r="S202" s="28" t="n">
        <v>6</v>
      </c>
      <c r="T202" s="28" t="n">
        <v>100</v>
      </c>
      <c r="U202" s="31" t="n">
        <v>2300</v>
      </c>
      <c r="V202" s="31">
        <f>R202*S202-P202</f>
        <v/>
      </c>
      <c r="W202" s="28" t="n">
        <v>5.75</v>
      </c>
      <c r="X202" s="28">
        <f>ROUND(V202/MAX(Q202,1),2)</f>
        <v/>
      </c>
      <c r="Y202" s="28" t="n">
        <v>0.92</v>
      </c>
      <c r="Z202" s="28">
        <f>IF(P202&gt;0,ROUND(V202/P202,2),"")</f>
        <v/>
      </c>
      <c r="AA202" s="28" t="n">
        <v>0.25</v>
      </c>
      <c r="AB202" s="28">
        <f>ROUND(T202/MAX(Q202,1),3)</f>
        <v/>
      </c>
      <c r="AC202" s="32" t="inlineStr">
        <is>
          <t>—</t>
        </is>
      </c>
      <c r="AD202" s="32" t="inlineStr">
        <is>
          <t>Treated like Fetid Djinni, the middle of the 5 most similar EN dishes: you changed it servings +2% (profit ×1.04)</t>
        </is>
      </c>
      <c r="AE202" s="32" t="inlineStr">
        <is>
          <t>Fetid Djinni (EN Lv67: servings +2%)</t>
        </is>
      </c>
      <c r="AF202" s="32" t="inlineStr">
        <is>
          <t>Garden Gnome Salad, Orc Steak, Tropical Coco Brain, Fetid Djinni, Hash Clown</t>
        </is>
      </c>
      <c r="AG202" s="32" t="inlineStr">
        <is>
          <t>Quick-cash dish already (5.8 $/min)</t>
        </is>
      </c>
      <c r="AH202" s="28" t="inlineStr"/>
      <c r="AI202" s="28" t="inlineStr"/>
      <c r="AJ202" s="28" t="inlineStr"/>
      <c r="AK202" s="28" t="inlineStr">
        <is>
          <t>ハンド・ウィッチ</t>
        </is>
      </c>
    </row>
    <row r="203">
      <c r="A203" s="28" t="n">
        <v>200</v>
      </c>
      <c r="B203" s="28" t="inlineStr">
        <is>
          <t>Ghost Pudding</t>
        </is>
      </c>
      <c r="C203" s="28" t="n">
        <v>16</v>
      </c>
      <c r="D203" s="28" t="inlineStr">
        <is>
          <t>Event recipe</t>
        </is>
      </c>
      <c r="E203" s="28" t="inlineStr">
        <is>
          <t>JP-only</t>
        </is>
      </c>
      <c r="F203" s="28" t="inlineStr"/>
      <c r="G203" s="34" t="inlineStr">
        <is>
          <t>EN pattern: buff</t>
        </is>
      </c>
      <c r="H203" s="30">
        <f>IF(W203&gt;0,X203/W203-1,"")</f>
        <v/>
      </c>
      <c r="I203" s="28" t="inlineStr"/>
      <c r="J203" s="28" t="inlineStr"/>
      <c r="K203" s="31" t="n">
        <v>1031</v>
      </c>
      <c r="L203" s="28" t="n">
        <v>1080</v>
      </c>
      <c r="M203" s="31" t="n">
        <v>500</v>
      </c>
      <c r="N203" s="28" t="n">
        <v>7</v>
      </c>
      <c r="O203" s="28" t="n">
        <v>110</v>
      </c>
      <c r="P203" s="31" t="n">
        <v>1031</v>
      </c>
      <c r="Q203" s="28" t="n">
        <v>1080</v>
      </c>
      <c r="R203" s="31" t="n">
        <v>535</v>
      </c>
      <c r="S203" s="28" t="n">
        <v>7</v>
      </c>
      <c r="T203" s="28" t="n">
        <v>110</v>
      </c>
      <c r="U203" s="31" t="n">
        <v>2469</v>
      </c>
      <c r="V203" s="31">
        <f>R203*S203-P203</f>
        <v/>
      </c>
      <c r="W203" s="28" t="n">
        <v>2.29</v>
      </c>
      <c r="X203" s="28">
        <f>ROUND(V203/MAX(Q203,1),2)</f>
        <v/>
      </c>
      <c r="Y203" s="28" t="n">
        <v>2.39</v>
      </c>
      <c r="Z203" s="28">
        <f>IF(P203&gt;0,ROUND(V203/P203,2),"")</f>
        <v/>
      </c>
      <c r="AA203" s="28" t="n">
        <v>0.102</v>
      </c>
      <c r="AB203" s="28">
        <f>ROUND(T203/MAX(Q203,1),3)</f>
        <v/>
      </c>
      <c r="AC203" s="32" t="inlineStr">
        <is>
          <t>Servings 500-&gt;535 (+7%)</t>
        </is>
      </c>
      <c r="AD203" s="32" t="inlineStr">
        <is>
          <t>Treated like Puking Duck, the middle of the 5 most similar EN dishes: you changed it servings +7% (profit ×1.12)</t>
        </is>
      </c>
      <c r="AE203" s="32" t="inlineStr">
        <is>
          <t>Puking Duck (EN Lv16: servings +7%)</t>
        </is>
      </c>
      <c r="AF203" s="32" t="inlineStr">
        <is>
          <t>Puking Duck, Quasar Coffee, Entropy Cassoulet, Nuke Fondue, Festering Hot Chocolate</t>
        </is>
      </c>
      <c r="AG203" s="32" t="inlineStr">
        <is>
          <t>Event dish: offline unlock undecided (START_HERE §8)</t>
        </is>
      </c>
      <c r="AH203" s="28" t="inlineStr"/>
      <c r="AI203" s="28" t="inlineStr"/>
      <c r="AJ203" s="28" t="inlineStr"/>
      <c r="AK203" s="28" t="inlineStr">
        <is>
          <t>ゴーストプディング</t>
        </is>
      </c>
    </row>
    <row r="204">
      <c r="A204" s="28" t="n">
        <v>201</v>
      </c>
      <c r="B204" s="28" t="inlineStr">
        <is>
          <t>Hsien-Ko's Tenraiha Salad</t>
        </is>
      </c>
      <c r="C204" s="28" t="n">
        <v>10</v>
      </c>
      <c r="D204" s="28" t="inlineStr">
        <is>
          <t>Event recipe</t>
        </is>
      </c>
      <c r="E204" s="28" t="inlineStr">
        <is>
          <t>JP-only</t>
        </is>
      </c>
      <c r="F204" s="28" t="inlineStr"/>
      <c r="G204" s="34" t="inlineStr">
        <is>
          <t>EN pattern: buff</t>
        </is>
      </c>
      <c r="H204" s="30">
        <f>IF(W204&gt;0,X204/W204-1,"")</f>
        <v/>
      </c>
      <c r="I204" s="28" t="inlineStr"/>
      <c r="J204" s="28" t="inlineStr"/>
      <c r="K204" s="31" t="n">
        <v>900</v>
      </c>
      <c r="L204" s="28" t="n">
        <v>360</v>
      </c>
      <c r="M204" s="31" t="n">
        <v>210</v>
      </c>
      <c r="N204" s="28" t="n">
        <v>12</v>
      </c>
      <c r="O204" s="28" t="n">
        <v>40</v>
      </c>
      <c r="P204" s="31" t="n">
        <v>900</v>
      </c>
      <c r="Q204" s="28" t="n">
        <v>360</v>
      </c>
      <c r="R204" s="31" t="n">
        <v>225</v>
      </c>
      <c r="S204" s="28" t="n">
        <v>12</v>
      </c>
      <c r="T204" s="28" t="n">
        <v>40</v>
      </c>
      <c r="U204" s="31" t="n">
        <v>1620</v>
      </c>
      <c r="V204" s="31">
        <f>R204*S204-P204</f>
        <v/>
      </c>
      <c r="W204" s="28" t="n">
        <v>4.5</v>
      </c>
      <c r="X204" s="28">
        <f>ROUND(V204/MAX(Q204,1),2)</f>
        <v/>
      </c>
      <c r="Y204" s="28" t="n">
        <v>1.8</v>
      </c>
      <c r="Z204" s="28">
        <f>IF(P204&gt;0,ROUND(V204/P204,2),"")</f>
        <v/>
      </c>
      <c r="AA204" s="28" t="n">
        <v>0.111</v>
      </c>
      <c r="AB204" s="28">
        <f>ROUND(T204/MAX(Q204,1),3)</f>
        <v/>
      </c>
      <c r="AC204" s="32" t="inlineStr">
        <is>
          <t>Servings 210-&gt;225 (+7%)</t>
        </is>
      </c>
      <c r="AD204" s="32" t="inlineStr">
        <is>
          <t>Treated like Festering Hot Chocolate, the middle of the 5 most similar EN dishes: you changed it servings +6% (profit ×1.10)</t>
        </is>
      </c>
      <c r="AE204" s="32" t="inlineStr">
        <is>
          <t>Festering Hot Chocolate (EN Lv20: servings +6%)</t>
        </is>
      </c>
      <c r="AF204" s="32" t="inlineStr">
        <is>
          <t>Dark Matter Loaf, Chili Chili Bang Bang, Festering Hot Chocolate, Entropy Cassoulet, Leech Melba</t>
        </is>
      </c>
      <c r="AG204" s="32" t="inlineStr">
        <is>
          <t>Event dish: offline unlock undecided (START_HERE §8)</t>
        </is>
      </c>
      <c r="AH204" s="28" t="inlineStr"/>
      <c r="AI204" s="28" t="inlineStr"/>
      <c r="AJ204" s="28" t="inlineStr"/>
      <c r="AK204" s="28" t="inlineStr">
        <is>
          <t>レイレイの天雷破サラダ</t>
        </is>
      </c>
    </row>
    <row r="205">
      <c r="A205" s="28" t="n">
        <v>202</v>
      </c>
      <c r="B205" s="28" t="inlineStr">
        <is>
          <t>Handshake-Ticket Tart</t>
        </is>
      </c>
      <c r="C205" s="28" t="n">
        <v>20</v>
      </c>
      <c r="D205" s="28" t="inlineStr">
        <is>
          <t>Event recipe</t>
        </is>
      </c>
      <c r="E205" s="28" t="inlineStr">
        <is>
          <t>JP-only</t>
        </is>
      </c>
      <c r="F205" s="28" t="inlineStr"/>
      <c r="G205" s="35" t="inlineStr">
        <is>
          <t>EN pattern: hold</t>
        </is>
      </c>
      <c r="H205" s="30">
        <f>IF(W205&gt;0,X205/W205-1,"")</f>
        <v/>
      </c>
      <c r="I205" s="28" t="inlineStr"/>
      <c r="J205" s="28" t="inlineStr"/>
      <c r="K205" s="31" t="n">
        <v>2500</v>
      </c>
      <c r="L205" s="28" t="n">
        <v>720</v>
      </c>
      <c r="M205" s="31" t="n">
        <v>680</v>
      </c>
      <c r="N205" s="28" t="n">
        <v>6</v>
      </c>
      <c r="O205" s="28" t="n">
        <v>125</v>
      </c>
      <c r="P205" s="31" t="n">
        <v>2500</v>
      </c>
      <c r="Q205" s="28" t="n">
        <v>720</v>
      </c>
      <c r="R205" s="31" t="n">
        <v>680</v>
      </c>
      <c r="S205" s="28" t="n">
        <v>6</v>
      </c>
      <c r="T205" s="28" t="n">
        <v>125</v>
      </c>
      <c r="U205" s="31" t="n">
        <v>1580</v>
      </c>
      <c r="V205" s="31">
        <f>R205*S205-P205</f>
        <v/>
      </c>
      <c r="W205" s="28" t="n">
        <v>2.19</v>
      </c>
      <c r="X205" s="28">
        <f>ROUND(V205/MAX(Q205,1),2)</f>
        <v/>
      </c>
      <c r="Y205" s="28" t="n">
        <v>0.63</v>
      </c>
      <c r="Z205" s="28">
        <f>IF(P205&gt;0,ROUND(V205/P205,2),"")</f>
        <v/>
      </c>
      <c r="AA205" s="28" t="n">
        <v>0.174</v>
      </c>
      <c r="AB205" s="28">
        <f>ROUND(T205/MAX(Q205,1),3)</f>
        <v/>
      </c>
      <c r="AC205" s="32" t="inlineStr">
        <is>
          <t>—</t>
        </is>
      </c>
      <c r="AD205" s="32" t="inlineStr">
        <is>
          <t>Treated like Thorn Bread, the middle of the 5 most similar EN dishes: you left it unchanged</t>
        </is>
      </c>
      <c r="AE205" s="32" t="inlineStr">
        <is>
          <t>Thorn Bread (EN Lv33: unchanged)</t>
        </is>
      </c>
      <c r="AF205" s="32" t="inlineStr">
        <is>
          <t>Blueberry Fangcake, String (Theory) Cheese, Deep Fried Bacon Wrapped Pizza, Thorn Bread, Toe-Cooked Baked Beans</t>
        </is>
      </c>
      <c r="AG205" s="32" t="inlineStr">
        <is>
          <t>Event dish: offline unlock undecided (START_HERE §8)</t>
        </is>
      </c>
      <c r="AH205" s="28" t="inlineStr"/>
      <c r="AI205" s="28" t="inlineStr"/>
      <c r="AJ205" s="28" t="inlineStr"/>
      <c r="AK205" s="28" t="inlineStr">
        <is>
          <t>あくしゅ券付きタルト</t>
        </is>
      </c>
    </row>
    <row r="206">
      <c r="A206" s="28" t="n">
        <v>203</v>
      </c>
      <c r="B206" s="28" t="inlineStr">
        <is>
          <t>Santa Claws</t>
        </is>
      </c>
      <c r="C206" s="28" t="n">
        <v>15</v>
      </c>
      <c r="D206" s="28" t="inlineStr">
        <is>
          <t>Event recipe</t>
        </is>
      </c>
      <c r="E206" s="28" t="inlineStr">
        <is>
          <t>JP-only</t>
        </is>
      </c>
      <c r="F206" s="28" t="inlineStr"/>
      <c r="G206" s="34" t="inlineStr">
        <is>
          <t>EN pattern: buff</t>
        </is>
      </c>
      <c r="H206" s="30">
        <f>IF(W206&gt;0,X206/W206-1,"")</f>
        <v/>
      </c>
      <c r="I206" s="28" t="inlineStr"/>
      <c r="J206" s="28" t="inlineStr"/>
      <c r="K206" s="31" t="n">
        <v>1800</v>
      </c>
      <c r="L206" s="28" t="n">
        <v>900</v>
      </c>
      <c r="M206" s="31" t="n">
        <v>500</v>
      </c>
      <c r="N206" s="28" t="n">
        <v>8</v>
      </c>
      <c r="O206" s="28" t="n">
        <v>90</v>
      </c>
      <c r="P206" s="31" t="n">
        <v>1250</v>
      </c>
      <c r="Q206" s="28" t="n">
        <v>900</v>
      </c>
      <c r="R206" s="31" t="n">
        <v>500</v>
      </c>
      <c r="S206" s="28" t="n">
        <v>8</v>
      </c>
      <c r="T206" s="28" t="n">
        <v>90</v>
      </c>
      <c r="U206" s="31" t="n">
        <v>2200</v>
      </c>
      <c r="V206" s="31">
        <f>R206*S206-P206</f>
        <v/>
      </c>
      <c r="W206" s="28" t="n">
        <v>2.44</v>
      </c>
      <c r="X206" s="28">
        <f>ROUND(V206/MAX(Q206,1),2)</f>
        <v/>
      </c>
      <c r="Y206" s="28" t="n">
        <v>1.22</v>
      </c>
      <c r="Z206" s="28">
        <f>IF(P206&gt;0,ROUND(V206/P206,2),"")</f>
        <v/>
      </c>
      <c r="AA206" s="28" t="n">
        <v>0.1</v>
      </c>
      <c r="AB206" s="28">
        <f>ROUND(T206/MAX(Q206,1),3)</f>
        <v/>
      </c>
      <c r="AC206" s="32" t="inlineStr">
        <is>
          <t>Cost 1,800-&gt;1,250 (-31%)</t>
        </is>
      </c>
      <c r="AD206" s="32" t="inlineStr">
        <is>
          <t>Treated like Deep Fried Bacon Wrapped Pizza, the middle of the 5 most similar EN dishes: you changed it cost -30%, servings -16% (profit ×1.01)</t>
        </is>
      </c>
      <c r="AE206" s="32" t="inlineStr">
        <is>
          <t>Deep Fried Bacon Wrapped Pizza (EN Lv29: cost -30%, servings -16%)</t>
        </is>
      </c>
      <c r="AF206" s="32" t="inlineStr">
        <is>
          <t>Quasar Coffee, Puking Duck, Nuke Fondue, Deep Fried Bacon Wrapped Pizza, Blueberry Fangcake</t>
        </is>
      </c>
      <c r="AG206" s="32" t="inlineStr">
        <is>
          <t>Event dish: offline unlock undecided (START_HERE §8)</t>
        </is>
      </c>
      <c r="AH206" s="28" t="inlineStr"/>
      <c r="AI206" s="28" t="inlineStr"/>
      <c r="AJ206" s="28" t="inlineStr"/>
      <c r="AK206" s="28" t="inlineStr">
        <is>
          <t>サンタクロウズ</t>
        </is>
      </c>
    </row>
    <row r="207">
      <c r="A207" s="28" t="n">
        <v>204</v>
      </c>
      <c r="B207" s="28" t="inlineStr">
        <is>
          <t>Blood Juice</t>
        </is>
      </c>
      <c r="C207" s="28" t="n">
        <v>12</v>
      </c>
      <c r="D207" s="28" t="inlineStr">
        <is>
          <t>Event recipe</t>
        </is>
      </c>
      <c r="E207" s="28" t="inlineStr">
        <is>
          <t>JP-only</t>
        </is>
      </c>
      <c r="F207" s="28" t="inlineStr"/>
      <c r="G207" s="34" t="inlineStr">
        <is>
          <t>EN pattern: buff</t>
        </is>
      </c>
      <c r="H207" s="30">
        <f>IF(W207&gt;0,X207/W207-1,"")</f>
        <v/>
      </c>
      <c r="I207" s="28" t="inlineStr"/>
      <c r="J207" s="28" t="inlineStr"/>
      <c r="K207" s="31" t="n">
        <v>1000</v>
      </c>
      <c r="L207" s="28" t="n">
        <v>540</v>
      </c>
      <c r="M207" s="31" t="n">
        <v>200</v>
      </c>
      <c r="N207" s="28" t="n">
        <v>10</v>
      </c>
      <c r="O207" s="28" t="n">
        <v>80</v>
      </c>
      <c r="P207" s="31" t="n">
        <v>1000</v>
      </c>
      <c r="Q207" s="28" t="n">
        <v>540</v>
      </c>
      <c r="R207" s="31" t="n">
        <v>210</v>
      </c>
      <c r="S207" s="28" t="n">
        <v>10</v>
      </c>
      <c r="T207" s="28" t="n">
        <v>80</v>
      </c>
      <c r="U207" s="31" t="n">
        <v>1000</v>
      </c>
      <c r="V207" s="31">
        <f>R207*S207-P207</f>
        <v/>
      </c>
      <c r="W207" s="28" t="n">
        <v>1.85</v>
      </c>
      <c r="X207" s="28">
        <f>ROUND(V207/MAX(Q207,1),2)</f>
        <v/>
      </c>
      <c r="Y207" s="28" t="n">
        <v>1</v>
      </c>
      <c r="Z207" s="28">
        <f>IF(P207&gt;0,ROUND(V207/P207,2),"")</f>
        <v/>
      </c>
      <c r="AA207" s="28" t="n">
        <v>0.148</v>
      </c>
      <c r="AB207" s="28">
        <f>ROUND(T207/MAX(Q207,1),3)</f>
        <v/>
      </c>
      <c r="AC207" s="32" t="inlineStr">
        <is>
          <t>Servings 200-&gt;210 (+5%)</t>
        </is>
      </c>
      <c r="AD207" s="32" t="inlineStr">
        <is>
          <t>Treated like Festering Hot Chocolate, the middle of the 5 most similar EN dishes: you changed it servings +6% (profit ×1.10)</t>
        </is>
      </c>
      <c r="AE207" s="32" t="inlineStr">
        <is>
          <t>Festering Hot Chocolate (EN Lv20: servings +6%)</t>
        </is>
      </c>
      <c r="AF207" s="32" t="inlineStr">
        <is>
          <t>Fried Snakeroll, Knuckle Sandwich, Entropy Cassoulet, Festering Hot Chocolate, Foie Gross</t>
        </is>
      </c>
      <c r="AG207" s="32" t="inlineStr">
        <is>
          <t>Event dish: offline unlock undecided (START_HERE §8)</t>
        </is>
      </c>
      <c r="AH207" s="28" t="inlineStr"/>
      <c r="AI207" s="28" t="inlineStr"/>
      <c r="AJ207" s="28" t="inlineStr"/>
      <c r="AK207" s="28" t="inlineStr">
        <is>
          <t>ブラッドジュース</t>
        </is>
      </c>
    </row>
    <row r="208">
      <c r="A208" s="28" t="n">
        <v>205</v>
      </c>
      <c r="B208" s="28" t="inlineStr">
        <is>
          <t>Moldy Mirror Mochi</t>
        </is>
      </c>
      <c r="C208" s="28" t="n">
        <v>7</v>
      </c>
      <c r="D208" s="28" t="inlineStr">
        <is>
          <t>Event recipe</t>
        </is>
      </c>
      <c r="E208" s="28" t="inlineStr">
        <is>
          <t>JP-only</t>
        </is>
      </c>
      <c r="F208" s="28" t="inlineStr"/>
      <c r="G208" s="34" t="inlineStr">
        <is>
          <t>EN pattern: buff</t>
        </is>
      </c>
      <c r="H208" s="30">
        <f>IF(W208&gt;0,X208/W208-1,"")</f>
        <v/>
      </c>
      <c r="I208" s="28" t="inlineStr"/>
      <c r="J208" s="28" t="inlineStr"/>
      <c r="K208" s="31" t="n">
        <v>2016</v>
      </c>
      <c r="L208" s="28" t="n">
        <v>400</v>
      </c>
      <c r="M208" s="31" t="n">
        <v>400</v>
      </c>
      <c r="N208" s="28" t="n">
        <v>7</v>
      </c>
      <c r="O208" s="28" t="n">
        <v>60</v>
      </c>
      <c r="P208" s="31" t="n">
        <v>2016</v>
      </c>
      <c r="Q208" s="28" t="n">
        <v>400</v>
      </c>
      <c r="R208" s="31" t="n">
        <v>485</v>
      </c>
      <c r="S208" s="28" t="n">
        <v>7</v>
      </c>
      <c r="T208" s="28" t="n">
        <v>60</v>
      </c>
      <c r="U208" s="31" t="n">
        <v>784</v>
      </c>
      <c r="V208" s="31">
        <f>R208*S208-P208</f>
        <v/>
      </c>
      <c r="W208" s="28" t="n">
        <v>1.96</v>
      </c>
      <c r="X208" s="28">
        <f>ROUND(V208/MAX(Q208,1),2)</f>
        <v/>
      </c>
      <c r="Y208" s="28" t="n">
        <v>0.39</v>
      </c>
      <c r="Z208" s="28">
        <f>IF(P208&gt;0,ROUND(V208/P208,2),"")</f>
        <v/>
      </c>
      <c r="AA208" s="28" t="n">
        <v>0.15</v>
      </c>
      <c r="AB208" s="28">
        <f>ROUND(T208/MAX(Q208,1),3)</f>
        <v/>
      </c>
      <c r="AC208" s="32" t="inlineStr">
        <is>
          <t>Servings 400-&gt;485 (+21%)</t>
        </is>
      </c>
      <c r="AD208" s="32" t="inlineStr">
        <is>
          <t>Treated like Foie Gross, the middle of the 5 most similar EN dishes: you changed it cost -20%, servings +8% (profit ×1.73)</t>
        </is>
      </c>
      <c r="AE208" s="32" t="inlineStr">
        <is>
          <t>Foie Gross (EN Lv18: cost -20%, servings +8%)</t>
        </is>
      </c>
      <c r="AF208" s="32" t="inlineStr">
        <is>
          <t>Blueberry Fangcake, Foie Gross, Fileted Minion, Lion's Head Meatballs, Net Prawn</t>
        </is>
      </c>
      <c r="AG208" s="32" t="inlineStr">
        <is>
          <t>Flavour/bulk number kept; gain moved to another number; Event dish: offline unlock undecided (START_HERE §8)</t>
        </is>
      </c>
      <c r="AH208" s="28" t="inlineStr"/>
      <c r="AI208" s="28" t="inlineStr"/>
      <c r="AJ208" s="28" t="inlineStr"/>
      <c r="AK208" s="28" t="inlineStr">
        <is>
          <t>カガビ餅</t>
        </is>
      </c>
    </row>
    <row r="209">
      <c r="A209" s="28" t="n">
        <v>206</v>
      </c>
      <c r="B209" s="28" t="inlineStr">
        <is>
          <t>Deep-Sea Fish on Ice</t>
        </is>
      </c>
      <c r="C209" s="28" t="n">
        <v>13</v>
      </c>
      <c r="D209" s="28" t="inlineStr">
        <is>
          <t>Event recipe</t>
        </is>
      </c>
      <c r="E209" s="28" t="inlineStr">
        <is>
          <t>JP-only</t>
        </is>
      </c>
      <c r="F209" s="28" t="inlineStr"/>
      <c r="G209" s="35" t="inlineStr">
        <is>
          <t>EN pattern: hold</t>
        </is>
      </c>
      <c r="H209" s="30">
        <f>IF(W209&gt;0,X209/W209-1,"")</f>
        <v/>
      </c>
      <c r="I209" s="28" t="inlineStr"/>
      <c r="J209" s="28" t="inlineStr"/>
      <c r="K209" s="31" t="n">
        <v>1600</v>
      </c>
      <c r="L209" s="28" t="n">
        <v>1320</v>
      </c>
      <c r="M209" s="31" t="n">
        <v>600</v>
      </c>
      <c r="N209" s="28" t="n">
        <v>6</v>
      </c>
      <c r="O209" s="28" t="n">
        <v>50</v>
      </c>
      <c r="P209" s="31" t="n">
        <v>1600</v>
      </c>
      <c r="Q209" s="28" t="n">
        <v>1320</v>
      </c>
      <c r="R209" s="31" t="n">
        <v>600</v>
      </c>
      <c r="S209" s="28" t="n">
        <v>6</v>
      </c>
      <c r="T209" s="28" t="n">
        <v>50</v>
      </c>
      <c r="U209" s="31" t="n">
        <v>2000</v>
      </c>
      <c r="V209" s="31">
        <f>R209*S209-P209</f>
        <v/>
      </c>
      <c r="W209" s="28" t="n">
        <v>1.52</v>
      </c>
      <c r="X209" s="28">
        <f>ROUND(V209/MAX(Q209,1),2)</f>
        <v/>
      </c>
      <c r="Y209" s="28" t="n">
        <v>1.25</v>
      </c>
      <c r="Z209" s="28">
        <f>IF(P209&gt;0,ROUND(V209/P209,2),"")</f>
        <v/>
      </c>
      <c r="AA209" s="28" t="n">
        <v>0.038</v>
      </c>
      <c r="AB209" s="28">
        <f>ROUND(T209/MAX(Q209,1),3)</f>
        <v/>
      </c>
      <c r="AC209" s="32" t="inlineStr">
        <is>
          <t>—</t>
        </is>
      </c>
      <c r="AD209" s="32" t="inlineStr">
        <is>
          <t>Treated like Head Cheese Pizza, the middle of the 5 most similar EN dishes: you left it unchanged</t>
        </is>
      </c>
      <c r="AE209" s="32" t="inlineStr">
        <is>
          <t>Head Cheese Pizza (EN Lv31: unchanged)</t>
        </is>
      </c>
      <c r="AF209" s="32" t="inlineStr">
        <is>
          <t>Puking Duck, Quasar Coffee, Nuke Fondue, Rabid Rabbit, Head Cheese Pizza</t>
        </is>
      </c>
      <c r="AG209" s="32" t="inlineStr">
        <is>
          <t>Event dish: offline unlock undecided (START_HERE §8)</t>
        </is>
      </c>
      <c r="AH209" s="28" t="inlineStr"/>
      <c r="AI209" s="28" t="inlineStr"/>
      <c r="AJ209" s="28" t="inlineStr"/>
      <c r="AK209" s="28" t="inlineStr">
        <is>
          <t>深海魚の氷漬</t>
        </is>
      </c>
    </row>
    <row r="210">
      <c r="A210" s="28" t="n">
        <v>207</v>
      </c>
      <c r="B210" s="28" t="inlineStr">
        <is>
          <t>Used-Smell Curry</t>
        </is>
      </c>
      <c r="C210" s="28" t="n">
        <v>14</v>
      </c>
      <c r="D210" s="28" t="inlineStr">
        <is>
          <t>Event recipe</t>
        </is>
      </c>
      <c r="E210" s="28" t="inlineStr">
        <is>
          <t>JP-only</t>
        </is>
      </c>
      <c r="F210" s="28" t="inlineStr"/>
      <c r="G210" s="35" t="inlineStr">
        <is>
          <t>EN pattern: hold</t>
        </is>
      </c>
      <c r="H210" s="30">
        <f>IF(W210&gt;0,X210/W210-1,"")</f>
        <v/>
      </c>
      <c r="I210" s="28" t="inlineStr"/>
      <c r="J210" s="28" t="inlineStr"/>
      <c r="K210" s="31" t="n">
        <v>2100</v>
      </c>
      <c r="L210" s="28" t="n">
        <v>720</v>
      </c>
      <c r="M210" s="31" t="n">
        <v>450</v>
      </c>
      <c r="N210" s="28" t="n">
        <v>7</v>
      </c>
      <c r="O210" s="28" t="n">
        <v>75</v>
      </c>
      <c r="P210" s="31" t="n">
        <v>2100</v>
      </c>
      <c r="Q210" s="28" t="n">
        <v>720</v>
      </c>
      <c r="R210" s="31" t="n">
        <v>450</v>
      </c>
      <c r="S210" s="28" t="n">
        <v>7</v>
      </c>
      <c r="T210" s="28" t="n">
        <v>75</v>
      </c>
      <c r="U210" s="31" t="n">
        <v>1050</v>
      </c>
      <c r="V210" s="31">
        <f>R210*S210-P210</f>
        <v/>
      </c>
      <c r="W210" s="28" t="n">
        <v>1.46</v>
      </c>
      <c r="X210" s="28">
        <f>ROUND(V210/MAX(Q210,1),2)</f>
        <v/>
      </c>
      <c r="Y210" s="28" t="n">
        <v>0.5</v>
      </c>
      <c r="Z210" s="28">
        <f>IF(P210&gt;0,ROUND(V210/P210,2),"")</f>
        <v/>
      </c>
      <c r="AA210" s="28" t="n">
        <v>0.104</v>
      </c>
      <c r="AB210" s="28">
        <f>ROUND(T210/MAX(Q210,1),3)</f>
        <v/>
      </c>
      <c r="AC210" s="32" t="inlineStr">
        <is>
          <t>—</t>
        </is>
      </c>
      <c r="AD210" s="32" t="inlineStr">
        <is>
          <t>Treated like Cockroach Calzone, the middle of the 5 most similar EN dishes: you changed it cost -1% (profit ×1.03)</t>
        </is>
      </c>
      <c r="AE210" s="32" t="inlineStr">
        <is>
          <t>Cockroach Calzone (EN Lv28: cost -1%)</t>
        </is>
      </c>
      <c r="AF210" s="32" t="inlineStr">
        <is>
          <t>Fileted Minion, String (Theory) Cheese, Blueberry Fangcake, Foie Gross, Cockroach Calzone</t>
        </is>
      </c>
      <c r="AG210" s="32" t="inlineStr">
        <is>
          <t>Event dish: offline unlock undecided (START_HERE §8)</t>
        </is>
      </c>
      <c r="AH210" s="28" t="inlineStr"/>
      <c r="AI210" s="28" t="inlineStr"/>
      <c r="AJ210" s="28" t="inlineStr"/>
      <c r="AK210" s="28" t="inlineStr">
        <is>
          <t>ユーズド臭カレー</t>
        </is>
      </c>
    </row>
    <row r="211">
      <c r="A211" s="28" t="n">
        <v>208</v>
      </c>
      <c r="B211" s="28" t="inlineStr">
        <is>
          <t>Jiraiya's Koya Tofu</t>
        </is>
      </c>
      <c r="C211" s="28" t="n">
        <v>18</v>
      </c>
      <c r="D211" s="28" t="inlineStr">
        <is>
          <t>Event recipe</t>
        </is>
      </c>
      <c r="E211" s="28" t="inlineStr">
        <is>
          <t>JP-only</t>
        </is>
      </c>
      <c r="F211" s="28" t="inlineStr"/>
      <c r="G211" s="34" t="inlineStr">
        <is>
          <t>EN pattern: buff</t>
        </is>
      </c>
      <c r="H211" s="30">
        <f>IF(W211&gt;0,X211/W211-1,"")</f>
        <v/>
      </c>
      <c r="I211" s="28" t="inlineStr"/>
      <c r="J211" s="28" t="inlineStr"/>
      <c r="K211" s="31" t="n">
        <v>640</v>
      </c>
      <c r="L211" s="28" t="n">
        <v>320</v>
      </c>
      <c r="M211" s="31" t="n">
        <v>250</v>
      </c>
      <c r="N211" s="28" t="n">
        <v>5</v>
      </c>
      <c r="O211" s="28" t="n">
        <v>55</v>
      </c>
      <c r="P211" s="31" t="n">
        <v>640</v>
      </c>
      <c r="Q211" s="28" t="n">
        <v>320</v>
      </c>
      <c r="R211" s="31" t="n">
        <v>265</v>
      </c>
      <c r="S211" s="28" t="n">
        <v>5</v>
      </c>
      <c r="T211" s="28" t="n">
        <v>55</v>
      </c>
      <c r="U211" s="31" t="n">
        <v>610</v>
      </c>
      <c r="V211" s="31">
        <f>R211*S211-P211</f>
        <v/>
      </c>
      <c r="W211" s="28" t="n">
        <v>1.91</v>
      </c>
      <c r="X211" s="28">
        <f>ROUND(V211/MAX(Q211,1),2)</f>
        <v/>
      </c>
      <c r="Y211" s="28" t="n">
        <v>0.95</v>
      </c>
      <c r="Z211" s="28">
        <f>IF(P211&gt;0,ROUND(V211/P211,2),"")</f>
        <v/>
      </c>
      <c r="AA211" s="28" t="n">
        <v>0.172</v>
      </c>
      <c r="AB211" s="28">
        <f>ROUND(T211/MAX(Q211,1),3)</f>
        <v/>
      </c>
      <c r="AC211" s="32" t="inlineStr">
        <is>
          <t>Servings 250-&gt;265 (+6%)</t>
        </is>
      </c>
      <c r="AD211" s="32" t="inlineStr">
        <is>
          <t>Treated like Festering Hot Chocolate, the middle of the 5 most similar EN dishes: you changed it servings +6% (profit ×1.10)</t>
        </is>
      </c>
      <c r="AE211" s="32" t="inlineStr">
        <is>
          <t>Festering Hot Chocolate (EN Lv20: servings +6%)</t>
        </is>
      </c>
      <c r="AF211" s="32" t="inlineStr">
        <is>
          <t>Entropy Cassoulet, Spiderello, English Breakfast Pizza, Festering Hot Chocolate, Knuckle Sandwich</t>
        </is>
      </c>
      <c r="AG211" s="32" t="inlineStr">
        <is>
          <t>Event dish: offline unlock undecided (START_HERE §8)</t>
        </is>
      </c>
      <c r="AH211" s="28" t="inlineStr"/>
      <c r="AI211" s="28" t="inlineStr"/>
      <c r="AJ211" s="28" t="inlineStr"/>
      <c r="AK211" s="28" t="inlineStr">
        <is>
          <t>ジライヤの高野豆腐</t>
        </is>
      </c>
    </row>
    <row r="212">
      <c r="A212" s="28" t="n">
        <v>209</v>
      </c>
      <c r="B212" s="28" t="inlineStr">
        <is>
          <t>Elephant Burger</t>
        </is>
      </c>
      <c r="C212" s="28" t="n">
        <v>65</v>
      </c>
      <c r="D212" s="28" t="inlineStr">
        <is>
          <t>Level track</t>
        </is>
      </c>
      <c r="E212" s="28" t="inlineStr">
        <is>
          <t>JP-only</t>
        </is>
      </c>
      <c r="F212" s="28" t="inlineStr"/>
      <c r="G212" s="34" t="inlineStr">
        <is>
          <t>EN pattern: buff</t>
        </is>
      </c>
      <c r="H212" s="30">
        <f>IF(W212&gt;0,X212/W212-1,"")</f>
        <v/>
      </c>
      <c r="I212" s="28" t="inlineStr"/>
      <c r="J212" s="28" t="inlineStr"/>
      <c r="K212" s="31" t="n">
        <v>3000</v>
      </c>
      <c r="L212" s="28" t="n">
        <v>960</v>
      </c>
      <c r="M212" s="31" t="n">
        <v>600</v>
      </c>
      <c r="N212" s="28" t="n">
        <v>9</v>
      </c>
      <c r="O212" s="28" t="n">
        <v>120</v>
      </c>
      <c r="P212" s="31" t="n">
        <v>3000</v>
      </c>
      <c r="Q212" s="28" t="n">
        <v>960</v>
      </c>
      <c r="R212" s="31" t="n">
        <v>600</v>
      </c>
      <c r="S212" s="28" t="n">
        <v>15</v>
      </c>
      <c r="T212" s="28" t="n">
        <v>120</v>
      </c>
      <c r="U212" s="31" t="n">
        <v>2400</v>
      </c>
      <c r="V212" s="31">
        <f>R212*S212-P212</f>
        <v/>
      </c>
      <c r="W212" s="28" t="n">
        <v>2.5</v>
      </c>
      <c r="X212" s="28">
        <f>ROUND(V212/MAX(Q212,1),2)</f>
        <v/>
      </c>
      <c r="Y212" s="28" t="n">
        <v>0.8</v>
      </c>
      <c r="Z212" s="28">
        <f>IF(P212&gt;0,ROUND(V212/P212,2),"")</f>
        <v/>
      </c>
      <c r="AA212" s="28" t="n">
        <v>0.125</v>
      </c>
      <c r="AB212" s="28">
        <f>ROUND(T212/MAX(Q212,1),3)</f>
        <v/>
      </c>
      <c r="AC212" s="32" t="inlineStr">
        <is>
          <t>$/serving 9-&gt;15 (+67%)</t>
        </is>
      </c>
      <c r="AD212" s="32" t="inlineStr">
        <is>
          <t>Treated like Verminestroni, the middle of the 5 most similar EN dishes: you changed it cost -1%, servings -1%, $/serving 7-&gt;12 (profit ×2.39)</t>
        </is>
      </c>
      <c r="AE212" s="32" t="inlineStr">
        <is>
          <t>Verminestroni (EN Lv68: cost -1%, servings -1%, $/serving 7-&gt;12)</t>
        </is>
      </c>
      <c r="AF212" s="32" t="inlineStr">
        <is>
          <t>Verminestroni, Mandragora Dip, Tropical Coco Brain, Eyestir Sauce Noodles, Cali Snail Rolls</t>
        </is>
      </c>
      <c r="AG212" s="32" t="inlineStr">
        <is>
          <t>$/serving raised (also changes tips)</t>
        </is>
      </c>
      <c r="AH212" s="28" t="inlineStr"/>
      <c r="AI212" s="28" t="inlineStr"/>
      <c r="AJ212" s="28" t="inlineStr"/>
      <c r="AK212" s="28" t="inlineStr">
        <is>
          <t>エレファントバーガー</t>
        </is>
      </c>
    </row>
    <row r="213">
      <c r="A213" s="28" t="n">
        <v>210</v>
      </c>
      <c r="B213" s="28" t="inlineStr">
        <is>
          <t>Suzaku Soup Curry</t>
        </is>
      </c>
      <c r="C213" s="28" t="n">
        <v>11</v>
      </c>
      <c r="D213" s="28" t="inlineStr">
        <is>
          <t>Event recipe</t>
        </is>
      </c>
      <c r="E213" s="28" t="inlineStr">
        <is>
          <t>JP-only</t>
        </is>
      </c>
      <c r="F213" s="28" t="inlineStr"/>
      <c r="G213" s="34" t="inlineStr">
        <is>
          <t>EN pattern: buff</t>
        </is>
      </c>
      <c r="H213" s="30">
        <f>IF(W213&gt;0,X213/W213-1,"")</f>
        <v/>
      </c>
      <c r="I213" s="28" t="inlineStr"/>
      <c r="J213" s="28" t="inlineStr"/>
      <c r="K213" s="31" t="n">
        <v>550</v>
      </c>
      <c r="L213" s="28" t="n">
        <v>240</v>
      </c>
      <c r="M213" s="31" t="n">
        <v>150</v>
      </c>
      <c r="N213" s="28" t="n">
        <v>9</v>
      </c>
      <c r="O213" s="28" t="n">
        <v>30</v>
      </c>
      <c r="P213" s="31" t="n">
        <v>550</v>
      </c>
      <c r="Q213" s="28" t="n">
        <v>240</v>
      </c>
      <c r="R213" s="31" t="n">
        <v>155</v>
      </c>
      <c r="S213" s="28" t="n">
        <v>9</v>
      </c>
      <c r="T213" s="28" t="n">
        <v>30</v>
      </c>
      <c r="U213" s="31" t="n">
        <v>800</v>
      </c>
      <c r="V213" s="31">
        <f>R213*S213-P213</f>
        <v/>
      </c>
      <c r="W213" s="28" t="n">
        <v>3.33</v>
      </c>
      <c r="X213" s="28">
        <f>ROUND(V213/MAX(Q213,1),2)</f>
        <v/>
      </c>
      <c r="Y213" s="28" t="n">
        <v>1.45</v>
      </c>
      <c r="Z213" s="28">
        <f>IF(P213&gt;0,ROUND(V213/P213,2),"")</f>
        <v/>
      </c>
      <c r="AA213" s="28" t="n">
        <v>0.125</v>
      </c>
      <c r="AB213" s="28">
        <f>ROUND(T213/MAX(Q213,1),3)</f>
        <v/>
      </c>
      <c r="AC213" s="32" t="inlineStr">
        <is>
          <t>Servings 150-&gt;155 (+3%)</t>
        </is>
      </c>
      <c r="AD213" s="32" t="inlineStr">
        <is>
          <t>Treated like Spiderello, the middle of the 5 most similar EN dishes: you changed it servings +4% (profit ×1.07)</t>
        </is>
      </c>
      <c r="AE213" s="32" t="inlineStr">
        <is>
          <t>Spiderello (EN Lv18: servings +4%)</t>
        </is>
      </c>
      <c r="AF213" s="32" t="inlineStr">
        <is>
          <t>Leech Melba, Fish Bones &amp; Gold Chips, Dark Matter Loaf, Festering Hot Chocolate, Spiderello</t>
        </is>
      </c>
      <c r="AG213" s="32" t="inlineStr">
        <is>
          <t>Event dish: offline unlock undecided (START_HERE §8)</t>
        </is>
      </c>
      <c r="AH213" s="28" t="inlineStr"/>
      <c r="AI213" s="28" t="inlineStr"/>
      <c r="AJ213" s="28" t="inlineStr"/>
      <c r="AK213" s="28" t="inlineStr">
        <is>
          <t>スザクスープカリー</t>
        </is>
      </c>
    </row>
    <row r="214">
      <c r="A214" s="28" t="n">
        <v>211</v>
      </c>
      <c r="B214" s="28" t="inlineStr">
        <is>
          <t>Sea King Leg Steak</t>
        </is>
      </c>
      <c r="C214" s="28" t="n">
        <v>25</v>
      </c>
      <c r="D214" s="28" t="inlineStr">
        <is>
          <t>Event recipe (late)</t>
        </is>
      </c>
      <c r="E214" s="28" t="inlineStr">
        <is>
          <t>JP-only</t>
        </is>
      </c>
      <c r="F214" s="28" t="inlineStr"/>
      <c r="G214" s="34" t="inlineStr">
        <is>
          <t>EN pattern: buff</t>
        </is>
      </c>
      <c r="H214" s="30">
        <f>IF(W214&gt;0,X214/W214-1,"")</f>
        <v/>
      </c>
      <c r="I214" s="28" t="inlineStr"/>
      <c r="J214" s="28" t="inlineStr"/>
      <c r="K214" s="31" t="n">
        <v>3000</v>
      </c>
      <c r="L214" s="28" t="n">
        <v>1320</v>
      </c>
      <c r="M214" s="31" t="n">
        <v>450</v>
      </c>
      <c r="N214" s="28" t="n">
        <v>10</v>
      </c>
      <c r="O214" s="28" t="n">
        <v>200</v>
      </c>
      <c r="P214" s="31" t="n">
        <v>2075</v>
      </c>
      <c r="Q214" s="28" t="n">
        <v>1320</v>
      </c>
      <c r="R214" s="31" t="n">
        <v>375</v>
      </c>
      <c r="S214" s="28" t="n">
        <v>10</v>
      </c>
      <c r="T214" s="28" t="n">
        <v>200</v>
      </c>
      <c r="U214" s="31" t="n">
        <v>1500</v>
      </c>
      <c r="V214" s="31">
        <f>R214*S214-P214</f>
        <v/>
      </c>
      <c r="W214" s="28" t="n">
        <v>1.14</v>
      </c>
      <c r="X214" s="28">
        <f>ROUND(V214/MAX(Q214,1),2)</f>
        <v/>
      </c>
      <c r="Y214" s="28" t="n">
        <v>0.5</v>
      </c>
      <c r="Z214" s="28">
        <f>IF(P214&gt;0,ROUND(V214/P214,2),"")</f>
        <v/>
      </c>
      <c r="AA214" s="28" t="n">
        <v>0.152</v>
      </c>
      <c r="AB214" s="28">
        <f>ROUND(T214/MAX(Q214,1),3)</f>
        <v/>
      </c>
      <c r="AC214" s="32" t="inlineStr">
        <is>
          <t>Cost 3,000-&gt;2,075 (-31%); Servings 450-&gt;375 (-17%)</t>
        </is>
      </c>
      <c r="AD214" s="32" t="inlineStr">
        <is>
          <t>Treated like Deep Fried Bacon Wrapped Pizza, the middle of the 5 most similar EN dishes: you changed it cost -30%, servings -16% (profit ×1.01)</t>
        </is>
      </c>
      <c r="AE214" s="32" t="inlineStr">
        <is>
          <t>Deep Fried Bacon Wrapped Pizza (EN Lv29: cost -30%, servings -16%)</t>
        </is>
      </c>
      <c r="AF214" s="32" t="inlineStr">
        <is>
          <t>String (Theory) Cheese, Grief Brisket, Thorn Bread, Fileted Minion, Deep Fried Bacon Wrapped Pizza</t>
        </is>
      </c>
      <c r="AG214" s="32" t="inlineStr">
        <is>
          <t>Event dish: offline unlock undecided (START_HERE §8)</t>
        </is>
      </c>
      <c r="AH214" s="28" t="inlineStr"/>
      <c r="AI214" s="28" t="inlineStr"/>
      <c r="AJ214" s="28" t="inlineStr"/>
      <c r="AK214" s="28" t="inlineStr">
        <is>
          <t>海王の足ステーキ</t>
        </is>
      </c>
    </row>
    <row r="215">
      <c r="A215" s="28" t="n">
        <v>212</v>
      </c>
      <c r="B215" s="28" t="inlineStr">
        <is>
          <t>Nose Gelee</t>
        </is>
      </c>
      <c r="C215" s="28" t="n">
        <v>9</v>
      </c>
      <c r="D215" s="28" t="inlineStr">
        <is>
          <t>Event recipe (late)</t>
        </is>
      </c>
      <c r="E215" s="28" t="inlineStr">
        <is>
          <t>JP-only</t>
        </is>
      </c>
      <c r="F215" s="28" t="inlineStr"/>
      <c r="G215" s="35" t="inlineStr">
        <is>
          <t>EN pattern: hold</t>
        </is>
      </c>
      <c r="H215" s="30">
        <f>IF(W215&gt;0,X215/W215-1,"")</f>
        <v/>
      </c>
      <c r="I215" s="28" t="inlineStr"/>
      <c r="J215" s="28" t="inlineStr"/>
      <c r="K215" s="31" t="n">
        <v>600</v>
      </c>
      <c r="L215" s="28" t="n">
        <v>120</v>
      </c>
      <c r="M215" s="31" t="n">
        <v>120</v>
      </c>
      <c r="N215" s="28" t="n">
        <v>10</v>
      </c>
      <c r="O215" s="28" t="n">
        <v>15</v>
      </c>
      <c r="P215" s="31" t="n">
        <v>600</v>
      </c>
      <c r="Q215" s="28" t="n">
        <v>120</v>
      </c>
      <c r="R215" s="31" t="n">
        <v>120</v>
      </c>
      <c r="S215" s="28" t="n">
        <v>10</v>
      </c>
      <c r="T215" s="28" t="n">
        <v>15</v>
      </c>
      <c r="U215" s="31" t="n">
        <v>600</v>
      </c>
      <c r="V215" s="31">
        <f>R215*S215-P215</f>
        <v/>
      </c>
      <c r="W215" s="28" t="n">
        <v>5</v>
      </c>
      <c r="X215" s="28">
        <f>ROUND(V215/MAX(Q215,1),2)</f>
        <v/>
      </c>
      <c r="Y215" s="28" t="n">
        <v>1</v>
      </c>
      <c r="Z215" s="28">
        <f>IF(P215&gt;0,ROUND(V215/P215,2),"")</f>
        <v/>
      </c>
      <c r="AA215" s="28" t="n">
        <v>0.125</v>
      </c>
      <c r="AB215" s="28">
        <f>ROUND(T215/MAX(Q215,1),3)</f>
        <v/>
      </c>
      <c r="AC215" s="32" t="inlineStr">
        <is>
          <t>—</t>
        </is>
      </c>
      <c r="AD215" s="32" t="inlineStr">
        <is>
          <t>Treated like Leech Melba, the middle of the 5 most similar EN dishes: you changed it servings +2% (profit ×1.03)</t>
        </is>
      </c>
      <c r="AE215" s="32" t="inlineStr">
        <is>
          <t>Leech Melba (EN Lv26: servings +2%)</t>
        </is>
      </c>
      <c r="AF215" s="32" t="inlineStr">
        <is>
          <t>Leech Melba, Putrefied Clam Chowder, Fish Bones &amp; Gold Chips, Net Prawn, Spiderello</t>
        </is>
      </c>
      <c r="AG215" s="32" t="inlineStr">
        <is>
          <t>Loose match: no EN dish is very close; Quick-cash dish already (5.0 $/min); Event dish: offline unlock undecided (START_HERE §8)</t>
        </is>
      </c>
      <c r="AH215" s="28" t="inlineStr"/>
      <c r="AI215" s="28" t="inlineStr"/>
      <c r="AJ215" s="28" t="inlineStr"/>
      <c r="AK215" s="28" t="inlineStr">
        <is>
          <t>ノーズジュレ</t>
        </is>
      </c>
    </row>
    <row r="216">
      <c r="A216" s="28" t="n">
        <v>213</v>
      </c>
      <c r="B216" s="28" t="inlineStr">
        <is>
          <t>Baked Caterpillar Wrap</t>
        </is>
      </c>
      <c r="C216" s="28" t="n">
        <v>28</v>
      </c>
      <c r="D216" s="28" t="inlineStr">
        <is>
          <t>Event recipe (late)</t>
        </is>
      </c>
      <c r="E216" s="28" t="inlineStr">
        <is>
          <t>JP-only</t>
        </is>
      </c>
      <c r="F216" s="28" t="inlineStr"/>
      <c r="G216" s="34" t="inlineStr">
        <is>
          <t>EN pattern: buff</t>
        </is>
      </c>
      <c r="H216" s="30">
        <f>IF(W216&gt;0,X216/W216-1,"")</f>
        <v/>
      </c>
      <c r="I216" s="28" t="inlineStr"/>
      <c r="J216" s="28" t="inlineStr"/>
      <c r="K216" s="31" t="n">
        <v>2100</v>
      </c>
      <c r="L216" s="28" t="n">
        <v>560</v>
      </c>
      <c r="M216" s="31" t="n">
        <v>850</v>
      </c>
      <c r="N216" s="28" t="n">
        <v>6</v>
      </c>
      <c r="O216" s="28" t="n">
        <v>100</v>
      </c>
      <c r="P216" s="31" t="n">
        <v>2100</v>
      </c>
      <c r="Q216" s="28" t="n">
        <v>560</v>
      </c>
      <c r="R216" s="31" t="n">
        <v>900</v>
      </c>
      <c r="S216" s="28" t="n">
        <v>6</v>
      </c>
      <c r="T216" s="28" t="n">
        <v>100</v>
      </c>
      <c r="U216" s="31" t="n">
        <v>3000</v>
      </c>
      <c r="V216" s="31">
        <f>R216*S216-P216</f>
        <v/>
      </c>
      <c r="W216" s="28" t="n">
        <v>5.36</v>
      </c>
      <c r="X216" s="28">
        <f>ROUND(V216/MAX(Q216,1),2)</f>
        <v/>
      </c>
      <c r="Y216" s="28" t="n">
        <v>1.43</v>
      </c>
      <c r="Z216" s="28">
        <f>IF(P216&gt;0,ROUND(V216/P216,2),"")</f>
        <v/>
      </c>
      <c r="AA216" s="28" t="n">
        <v>0.179</v>
      </c>
      <c r="AB216" s="28">
        <f>ROUND(T216/MAX(Q216,1),3)</f>
        <v/>
      </c>
      <c r="AC216" s="32" t="inlineStr">
        <is>
          <t>Servings 850-&gt;900 (+6%)</t>
        </is>
      </c>
      <c r="AD216" s="32" t="inlineStr">
        <is>
          <t>Treated like Quasar Coffee, the middle of the 5 most similar EN dishes: you changed it servings +7% (profit ×1.12)</t>
        </is>
      </c>
      <c r="AE216" s="32" t="inlineStr">
        <is>
          <t>Quasar Coffee (EN Lv21: servings +7%)</t>
        </is>
      </c>
      <c r="AF216" s="32" t="inlineStr">
        <is>
          <t>Chili Chili Bang Bang, Dark Matter Loaf, Chicken Fried Snake, Blueberry Fangcake, Quasar Coffee</t>
        </is>
      </c>
      <c r="AG216" s="32" t="inlineStr">
        <is>
          <t>Quick-cash dish already (5.4 $/min); Event dish: offline unlock undecided (START_HERE §8)</t>
        </is>
      </c>
      <c r="AH216" s="28" t="inlineStr"/>
      <c r="AI216" s="28" t="inlineStr"/>
      <c r="AJ216" s="28" t="inlineStr"/>
      <c r="AK216" s="28" t="inlineStr">
        <is>
          <t>青虫の包焼</t>
        </is>
      </c>
    </row>
    <row r="217">
      <c r="A217" s="28" t="n">
        <v>214</v>
      </c>
      <c r="B217" s="28" t="inlineStr">
        <is>
          <t>Panda Cocktail</t>
        </is>
      </c>
      <c r="C217" s="28" t="n">
        <v>10</v>
      </c>
      <c r="D217" s="28" t="inlineStr">
        <is>
          <t>Event recipe (late)</t>
        </is>
      </c>
      <c r="E217" s="28" t="inlineStr">
        <is>
          <t>JP-only</t>
        </is>
      </c>
      <c r="F217" s="28" t="inlineStr"/>
      <c r="G217" s="34" t="inlineStr">
        <is>
          <t>EN pattern: buff</t>
        </is>
      </c>
      <c r="H217" s="30">
        <f>IF(W217&gt;0,X217/W217-1,"")</f>
        <v/>
      </c>
      <c r="I217" s="28" t="inlineStr"/>
      <c r="J217" s="28" t="inlineStr"/>
      <c r="K217" s="31" t="n">
        <v>800</v>
      </c>
      <c r="L217" s="28" t="n">
        <v>1140</v>
      </c>
      <c r="M217" s="31" t="n">
        <v>400</v>
      </c>
      <c r="N217" s="28" t="n">
        <v>4</v>
      </c>
      <c r="O217" s="28" t="n">
        <v>55</v>
      </c>
      <c r="P217" s="31" t="n">
        <v>800</v>
      </c>
      <c r="Q217" s="28" t="n">
        <v>1140</v>
      </c>
      <c r="R217" s="31" t="n">
        <v>425</v>
      </c>
      <c r="S217" s="28" t="n">
        <v>4</v>
      </c>
      <c r="T217" s="28" t="n">
        <v>55</v>
      </c>
      <c r="U217" s="31" t="n">
        <v>800</v>
      </c>
      <c r="V217" s="31">
        <f>R217*S217-P217</f>
        <v/>
      </c>
      <c r="W217" s="28" t="n">
        <v>0.7</v>
      </c>
      <c r="X217" s="28">
        <f>ROUND(V217/MAX(Q217,1),2)</f>
        <v/>
      </c>
      <c r="Y217" s="28" t="n">
        <v>1</v>
      </c>
      <c r="Z217" s="28">
        <f>IF(P217&gt;0,ROUND(V217/P217,2),"")</f>
        <v/>
      </c>
      <c r="AA217" s="28" t="n">
        <v>0.048</v>
      </c>
      <c r="AB217" s="28">
        <f>ROUND(T217/MAX(Q217,1),3)</f>
        <v/>
      </c>
      <c r="AC217" s="32" t="inlineStr">
        <is>
          <t>Servings 400-&gt;425 (+6%)</t>
        </is>
      </c>
      <c r="AD217" s="32" t="inlineStr">
        <is>
          <t>Treated like Sloppy "Joe", the middle of the 5 most similar EN dishes: you changed it servings +6% (profit ×1.14)</t>
        </is>
      </c>
      <c r="AE217" s="32" t="inlineStr">
        <is>
          <t>Sloppy "Joe" (EN Lv6: servings +6%)</t>
        </is>
      </c>
      <c r="AF217" s="32" t="inlineStr">
        <is>
          <t>Finger Sandwiches, Pork 'n' Brains, Gnasty Gnocchi, Eyeberry Jelly, Sloppy "Joe"</t>
        </is>
      </c>
      <c r="AG217" s="32" t="inlineStr">
        <is>
          <t>Event dish: offline unlock undecided (START_HERE §8)</t>
        </is>
      </c>
      <c r="AH217" s="28" t="inlineStr"/>
      <c r="AI217" s="28" t="inlineStr"/>
      <c r="AJ217" s="28" t="inlineStr"/>
      <c r="AK217" s="28" t="inlineStr">
        <is>
          <t>パンダカクテル</t>
        </is>
      </c>
    </row>
    <row r="218">
      <c r="A218" s="28" t="n">
        <v>215</v>
      </c>
      <c r="B218" s="28" t="inlineStr">
        <is>
          <t>Rockman Bun</t>
        </is>
      </c>
      <c r="C218" s="28" t="n">
        <v>12</v>
      </c>
      <c r="D218" s="28" t="inlineStr">
        <is>
          <t>Event recipe (late)</t>
        </is>
      </c>
      <c r="E218" s="28" t="inlineStr">
        <is>
          <t>JP-only</t>
        </is>
      </c>
      <c r="F218" s="28" t="inlineStr"/>
      <c r="G218" s="35" t="inlineStr">
        <is>
          <t>EN pattern: hold</t>
        </is>
      </c>
      <c r="H218" s="30">
        <f>IF(W218&gt;0,X218/W218-1,"")</f>
        <v/>
      </c>
      <c r="I218" s="28" t="inlineStr"/>
      <c r="J218" s="28" t="inlineStr"/>
      <c r="K218" s="31" t="n">
        <v>2000</v>
      </c>
      <c r="L218" s="28" t="n">
        <v>2160</v>
      </c>
      <c r="M218" s="31" t="n">
        <v>100</v>
      </c>
      <c r="N218" s="28" t="n">
        <v>30</v>
      </c>
      <c r="O218" s="28" t="n">
        <v>80</v>
      </c>
      <c r="P218" s="31" t="n">
        <v>2000</v>
      </c>
      <c r="Q218" s="28" t="n">
        <v>2160</v>
      </c>
      <c r="R218" s="31" t="n">
        <v>100</v>
      </c>
      <c r="S218" s="28" t="n">
        <v>30</v>
      </c>
      <c r="T218" s="28" t="n">
        <v>80</v>
      </c>
      <c r="U218" s="31" t="n">
        <v>1000</v>
      </c>
      <c r="V218" s="31">
        <f>R218*S218-P218</f>
        <v/>
      </c>
      <c r="W218" s="28" t="n">
        <v>0.46</v>
      </c>
      <c r="X218" s="28">
        <f>ROUND(V218/MAX(Q218,1),2)</f>
        <v/>
      </c>
      <c r="Y218" s="28" t="n">
        <v>0.5</v>
      </c>
      <c r="Z218" s="28">
        <f>IF(P218&gt;0,ROUND(V218/P218,2),"")</f>
        <v/>
      </c>
      <c r="AA218" s="28" t="n">
        <v>0.037</v>
      </c>
      <c r="AB218" s="28">
        <f>ROUND(T218/MAX(Q218,1),3)</f>
        <v/>
      </c>
      <c r="AC218" s="32" t="inlineStr">
        <is>
          <t>—</t>
        </is>
      </c>
      <c r="AD218" s="32" t="inlineStr">
        <is>
          <t>$30 per serving is above anything in your EN game (max $16), so no EN dish is comparable; held for your call</t>
        </is>
      </c>
      <c r="AE218" s="32" t="inlineStr"/>
      <c r="AF218" s="32" t="inlineStr"/>
      <c r="AG218" s="32" t="inlineStr">
        <is>
          <t>No comparable EN dish; Event dish: offline unlock undecided (START_HERE §8)</t>
        </is>
      </c>
      <c r="AH218" s="28" t="inlineStr"/>
      <c r="AI218" s="28" t="inlineStr"/>
      <c r="AJ218" s="28" t="inlineStr"/>
      <c r="AK218" s="28" t="inlineStr">
        <is>
          <t>ロックまん</t>
        </is>
      </c>
    </row>
    <row r="219">
      <c r="A219" s="28" t="n">
        <v>216</v>
      </c>
      <c r="B219" s="28" t="inlineStr">
        <is>
          <t>X Bun</t>
        </is>
      </c>
      <c r="C219" s="28" t="n">
        <v>22</v>
      </c>
      <c r="D219" s="28" t="inlineStr">
        <is>
          <t>Event recipe (late)</t>
        </is>
      </c>
      <c r="E219" s="28" t="inlineStr">
        <is>
          <t>JP-only</t>
        </is>
      </c>
      <c r="F219" s="28" t="inlineStr"/>
      <c r="G219" s="35" t="inlineStr">
        <is>
          <t>EN pattern: hold</t>
        </is>
      </c>
      <c r="H219" s="30">
        <f>IF(W219&gt;0,X219/W219-1,"")</f>
        <v/>
      </c>
      <c r="I219" s="28" t="inlineStr"/>
      <c r="J219" s="28" t="inlineStr"/>
      <c r="K219" s="31" t="n">
        <v>4000</v>
      </c>
      <c r="L219" s="28" t="n">
        <v>2880</v>
      </c>
      <c r="M219" s="31" t="n">
        <v>100</v>
      </c>
      <c r="N219" s="28" t="n">
        <v>60</v>
      </c>
      <c r="O219" s="28" t="n">
        <v>120</v>
      </c>
      <c r="P219" s="31" t="n">
        <v>4000</v>
      </c>
      <c r="Q219" s="28" t="n">
        <v>2880</v>
      </c>
      <c r="R219" s="31" t="n">
        <v>100</v>
      </c>
      <c r="S219" s="28" t="n">
        <v>60</v>
      </c>
      <c r="T219" s="28" t="n">
        <v>120</v>
      </c>
      <c r="U219" s="31" t="n">
        <v>2000</v>
      </c>
      <c r="V219" s="31">
        <f>R219*S219-P219</f>
        <v/>
      </c>
      <c r="W219" s="28" t="n">
        <v>0.6899999999999999</v>
      </c>
      <c r="X219" s="28">
        <f>ROUND(V219/MAX(Q219,1),2)</f>
        <v/>
      </c>
      <c r="Y219" s="28" t="n">
        <v>0.5</v>
      </c>
      <c r="Z219" s="28">
        <f>IF(P219&gt;0,ROUND(V219/P219,2),"")</f>
        <v/>
      </c>
      <c r="AA219" s="28" t="n">
        <v>0.042</v>
      </c>
      <c r="AB219" s="28">
        <f>ROUND(T219/MAX(Q219,1),3)</f>
        <v/>
      </c>
      <c r="AC219" s="32" t="inlineStr">
        <is>
          <t>—</t>
        </is>
      </c>
      <c r="AD219" s="32" t="inlineStr">
        <is>
          <t>$60 per serving is above anything in your EN game (max $16), so no EN dish is comparable; held for your call</t>
        </is>
      </c>
      <c r="AE219" s="32" t="inlineStr"/>
      <c r="AF219" s="32" t="inlineStr"/>
      <c r="AG219" s="32" t="inlineStr">
        <is>
          <t>No comparable EN dish; Event dish: offline unlock undecided (START_HERE §8)</t>
        </is>
      </c>
      <c r="AH219" s="28" t="inlineStr"/>
      <c r="AI219" s="28" t="inlineStr"/>
      <c r="AJ219" s="28" t="inlineStr"/>
      <c r="AK219" s="28" t="inlineStr">
        <is>
          <t>エックスまん</t>
        </is>
      </c>
    </row>
    <row r="220">
      <c r="A220" s="28" t="n">
        <v>217</v>
      </c>
      <c r="B220" s="28" t="inlineStr">
        <is>
          <t>Suspicious Sashimi Boat</t>
        </is>
      </c>
      <c r="C220" s="28" t="n">
        <v>17</v>
      </c>
      <c r="D220" s="28" t="inlineStr">
        <is>
          <t>Event recipe (late)</t>
        </is>
      </c>
      <c r="E220" s="28" t="inlineStr">
        <is>
          <t>JP-only</t>
        </is>
      </c>
      <c r="F220" s="28" t="inlineStr"/>
      <c r="G220" s="34" t="inlineStr">
        <is>
          <t>EN pattern: buff</t>
        </is>
      </c>
      <c r="H220" s="30">
        <f>IF(W220&gt;0,X220/W220-1,"")</f>
        <v/>
      </c>
      <c r="I220" s="28" t="inlineStr"/>
      <c r="J220" s="28" t="inlineStr"/>
      <c r="K220" s="31" t="n">
        <v>2400</v>
      </c>
      <c r="L220" s="28" t="n">
        <v>1200</v>
      </c>
      <c r="M220" s="31" t="n">
        <v>777</v>
      </c>
      <c r="N220" s="28" t="n">
        <v>6</v>
      </c>
      <c r="O220" s="28" t="n">
        <v>60</v>
      </c>
      <c r="P220" s="31" t="n">
        <v>1650</v>
      </c>
      <c r="Q220" s="28" t="n">
        <v>1200</v>
      </c>
      <c r="R220" s="31" t="n">
        <v>777</v>
      </c>
      <c r="S220" s="28" t="n">
        <v>6</v>
      </c>
      <c r="T220" s="28" t="n">
        <v>60</v>
      </c>
      <c r="U220" s="31" t="n">
        <v>2262</v>
      </c>
      <c r="V220" s="31">
        <f>R220*S220-P220</f>
        <v/>
      </c>
      <c r="W220" s="28" t="n">
        <v>1.89</v>
      </c>
      <c r="X220" s="28">
        <f>ROUND(V220/MAX(Q220,1),2)</f>
        <v/>
      </c>
      <c r="Y220" s="28" t="n">
        <v>0.9399999999999999</v>
      </c>
      <c r="Z220" s="28">
        <f>IF(P220&gt;0,ROUND(V220/P220,2),"")</f>
        <v/>
      </c>
      <c r="AA220" s="28" t="n">
        <v>0.05</v>
      </c>
      <c r="AB220" s="28">
        <f>ROUND(T220/MAX(Q220,1),3)</f>
        <v/>
      </c>
      <c r="AC220" s="32" t="inlineStr">
        <is>
          <t>Cost 2,400-&gt;1,650 (-31%)</t>
        </is>
      </c>
      <c r="AD220" s="32" t="inlineStr">
        <is>
          <t>Treated like Deep Fried Bacon Wrapped Pizza, the middle of the 5 most similar EN dishes: you changed it cost -30%, servings -16% (profit ×1.01)</t>
        </is>
      </c>
      <c r="AE220" s="32" t="inlineStr">
        <is>
          <t>Deep Fried Bacon Wrapped Pizza (EN Lv29: cost -30%, servings -16%)</t>
        </is>
      </c>
      <c r="AF220" s="32" t="inlineStr">
        <is>
          <t>Deep Fried Bacon Wrapped Pizza, Nuke Fondue, String (Theory) Cheese, Puking Duck, Quasar Coffee</t>
        </is>
      </c>
      <c r="AG220" s="32" t="inlineStr">
        <is>
          <t>Event dish: offline unlock undecided (START_HERE §8)</t>
        </is>
      </c>
      <c r="AH220" s="28" t="inlineStr"/>
      <c r="AI220" s="28" t="inlineStr"/>
      <c r="AJ220" s="28" t="inlineStr"/>
      <c r="AK220" s="28" t="inlineStr">
        <is>
          <t>あやしい舟盛り</t>
        </is>
      </c>
    </row>
    <row r="221">
      <c r="A221" s="28" t="n">
        <v>218</v>
      </c>
      <c r="B221" s="28" t="inlineStr">
        <is>
          <t>Martian Macaroni</t>
        </is>
      </c>
      <c r="C221" s="28" t="n">
        <v>34</v>
      </c>
      <c r="D221" s="28" t="inlineStr">
        <is>
          <t>Event recipe (late)</t>
        </is>
      </c>
      <c r="E221" s="28" t="inlineStr">
        <is>
          <t>JP-only</t>
        </is>
      </c>
      <c r="F221" s="28" t="inlineStr"/>
      <c r="G221" s="34" t="inlineStr">
        <is>
          <t>EN pattern: buff</t>
        </is>
      </c>
      <c r="H221" s="30">
        <f>IF(W221&gt;0,X221/W221-1,"")</f>
        <v/>
      </c>
      <c r="I221" s="28" t="inlineStr"/>
      <c r="J221" s="28" t="inlineStr"/>
      <c r="K221" s="31" t="n">
        <v>2500</v>
      </c>
      <c r="L221" s="28" t="n">
        <v>240</v>
      </c>
      <c r="M221" s="31" t="n">
        <v>400</v>
      </c>
      <c r="N221" s="28" t="n">
        <v>7</v>
      </c>
      <c r="O221" s="28" t="n">
        <v>190</v>
      </c>
      <c r="P221" s="31" t="n">
        <v>1650</v>
      </c>
      <c r="Q221" s="28" t="n">
        <v>240</v>
      </c>
      <c r="R221" s="31" t="n">
        <v>400</v>
      </c>
      <c r="S221" s="28" t="n">
        <v>7</v>
      </c>
      <c r="T221" s="28" t="n">
        <v>190</v>
      </c>
      <c r="U221" s="31" t="n">
        <v>300</v>
      </c>
      <c r="V221" s="31">
        <f>R221*S221-P221</f>
        <v/>
      </c>
      <c r="W221" s="28" t="n">
        <v>1.25</v>
      </c>
      <c r="X221" s="28">
        <f>ROUND(V221/MAX(Q221,1),2)</f>
        <v/>
      </c>
      <c r="Y221" s="28" t="n">
        <v>0.12</v>
      </c>
      <c r="Z221" s="28">
        <f>IF(P221&gt;0,ROUND(V221/P221,2),"")</f>
        <v/>
      </c>
      <c r="AA221" s="28" t="n">
        <v>0.792</v>
      </c>
      <c r="AB221" s="28">
        <f>ROUND(T221/MAX(Q221,1),3)</f>
        <v/>
      </c>
      <c r="AC221" s="32" t="inlineStr">
        <is>
          <t>Cost 2,500-&gt;1,650 (-34%)</t>
        </is>
      </c>
      <c r="AD221" s="32" t="inlineStr">
        <is>
          <t>Treated like Rotten-Apple Pie, the middle of the 5 most similar EN dishes: you changed it cost -33% (profit ×2.19)</t>
        </is>
      </c>
      <c r="AE221" s="32" t="inlineStr">
        <is>
          <t>Rotten-Apple Pie (EN Lv33: cost -33%)</t>
        </is>
      </c>
      <c r="AF221" s="32" t="inlineStr">
        <is>
          <t>Rotten-Apple Pie, Toxic Trifle, Stake Tar-Tar, Net Prawn, Dracooler</t>
        </is>
      </c>
      <c r="AG221" s="32" t="inlineStr">
        <is>
          <t>Loose match: no EN dish is very close; Event dish: offline unlock undecided (START_HERE §8)</t>
        </is>
      </c>
      <c r="AH221" s="28" t="inlineStr"/>
      <c r="AI221" s="28" t="inlineStr"/>
      <c r="AJ221" s="28" t="inlineStr"/>
      <c r="AK221" s="28" t="inlineStr">
        <is>
          <t>火星人マカロニ</t>
        </is>
      </c>
    </row>
    <row r="222">
      <c r="A222" s="28" t="n">
        <v>219</v>
      </c>
      <c r="B222" s="28" t="inlineStr">
        <is>
          <t>Gut Guacamole</t>
        </is>
      </c>
      <c r="C222" s="28" t="n">
        <v>66</v>
      </c>
      <c r="D222" s="28" t="inlineStr">
        <is>
          <t>Level track</t>
        </is>
      </c>
      <c r="E222" s="28" t="inlineStr">
        <is>
          <t>JP-only</t>
        </is>
      </c>
      <c r="F222" s="28" t="inlineStr"/>
      <c r="G222" s="34" t="inlineStr">
        <is>
          <t>EN pattern: buff</t>
        </is>
      </c>
      <c r="H222" s="30">
        <f>IF(W222&gt;0,X222/W222-1,"")</f>
        <v/>
      </c>
      <c r="I222" s="28" t="inlineStr"/>
      <c r="J222" s="28" t="inlineStr"/>
      <c r="K222" s="31" t="n">
        <v>1000</v>
      </c>
      <c r="L222" s="28" t="n">
        <v>270</v>
      </c>
      <c r="M222" s="31" t="n">
        <v>250</v>
      </c>
      <c r="N222" s="28" t="n">
        <v>10</v>
      </c>
      <c r="O222" s="28" t="n">
        <v>80</v>
      </c>
      <c r="P222" s="31" t="n">
        <v>640</v>
      </c>
      <c r="Q222" s="28" t="n">
        <v>270</v>
      </c>
      <c r="R222" s="31" t="n">
        <v>265</v>
      </c>
      <c r="S222" s="28" t="n">
        <v>10</v>
      </c>
      <c r="T222" s="28" t="n">
        <v>80</v>
      </c>
      <c r="U222" s="31" t="n">
        <v>1500</v>
      </c>
      <c r="V222" s="31">
        <f>R222*S222-P222</f>
        <v/>
      </c>
      <c r="W222" s="28" t="n">
        <v>5.56</v>
      </c>
      <c r="X222" s="28">
        <f>ROUND(V222/MAX(Q222,1),2)</f>
        <v/>
      </c>
      <c r="Y222" s="28" t="n">
        <v>1.5</v>
      </c>
      <c r="Z222" s="28">
        <f>IF(P222&gt;0,ROUND(V222/P222,2),"")</f>
        <v/>
      </c>
      <c r="AA222" s="28" t="n">
        <v>0.296</v>
      </c>
      <c r="AB222" s="28">
        <f>ROUND(T222/MAX(Q222,1),3)</f>
        <v/>
      </c>
      <c r="AC222" s="32" t="inlineStr">
        <is>
          <t>Cost 1,000-&gt;640 (-36%); Servings 250-&gt;265 (+6%)</t>
        </is>
      </c>
      <c r="AD222" s="32" t="inlineStr">
        <is>
          <t>Treated like Bento Brain Box, the middle of the 5 most similar EN dishes: you changed it cost -35%, servings +6% (profit ×1.24)</t>
        </is>
      </c>
      <c r="AE222" s="32" t="inlineStr">
        <is>
          <t>Bento Brain Box (EN Lv52: cost -35%, servings +6%)</t>
        </is>
      </c>
      <c r="AF222" s="32" t="inlineStr">
        <is>
          <t>Ew-Nagi, Garden Gnome Salad, Putrefied Clam Chowder, Bento Brain Box, Rancid Pulled Pork</t>
        </is>
      </c>
      <c r="AG222" s="32" t="inlineStr">
        <is>
          <t>Loose match: no EN dish is very close; Quick-cash dish already (5.6 $/min)</t>
        </is>
      </c>
      <c r="AH222" s="28" t="inlineStr"/>
      <c r="AI222" s="28" t="inlineStr"/>
      <c r="AJ222" s="28" t="inlineStr"/>
      <c r="AK222" s="28" t="inlineStr">
        <is>
          <t>腸ワカモレ</t>
        </is>
      </c>
    </row>
    <row r="223">
      <c r="A223" s="28" t="n">
        <v>220</v>
      </c>
      <c r="B223" s="28" t="inlineStr">
        <is>
          <t>Piledriver Steak</t>
        </is>
      </c>
      <c r="C223" s="28" t="n">
        <v>19</v>
      </c>
      <c r="D223" s="28" t="inlineStr">
        <is>
          <t>Event recipe (late)</t>
        </is>
      </c>
      <c r="E223" s="28" t="inlineStr">
        <is>
          <t>JP-only</t>
        </is>
      </c>
      <c r="F223" s="28" t="inlineStr"/>
      <c r="G223" s="35" t="inlineStr">
        <is>
          <t>EN pattern: hold</t>
        </is>
      </c>
      <c r="H223" s="30">
        <f>IF(W223&gt;0,X223/W223-1,"")</f>
        <v/>
      </c>
      <c r="I223" s="28" t="inlineStr"/>
      <c r="J223" s="28" t="inlineStr"/>
      <c r="K223" s="31" t="n">
        <v>1400</v>
      </c>
      <c r="L223" s="28" t="n">
        <v>900</v>
      </c>
      <c r="M223" s="31" t="n">
        <v>1200</v>
      </c>
      <c r="N223" s="28" t="n">
        <v>3</v>
      </c>
      <c r="O223" s="28" t="n">
        <v>80</v>
      </c>
      <c r="P223" s="31" t="n">
        <v>1400</v>
      </c>
      <c r="Q223" s="28" t="n">
        <v>900</v>
      </c>
      <c r="R223" s="31" t="n">
        <v>1200</v>
      </c>
      <c r="S223" s="28" t="n">
        <v>3</v>
      </c>
      <c r="T223" s="28" t="n">
        <v>80</v>
      </c>
      <c r="U223" s="31" t="n">
        <v>2200</v>
      </c>
      <c r="V223" s="31">
        <f>R223*S223-P223</f>
        <v/>
      </c>
      <c r="W223" s="28" t="n">
        <v>2.44</v>
      </c>
      <c r="X223" s="28">
        <f>ROUND(V223/MAX(Q223,1),2)</f>
        <v/>
      </c>
      <c r="Y223" s="28" t="n">
        <v>1.57</v>
      </c>
      <c r="Z223" s="28">
        <f>IF(P223&gt;0,ROUND(V223/P223,2),"")</f>
        <v/>
      </c>
      <c r="AA223" s="28" t="n">
        <v>0.089</v>
      </c>
      <c r="AB223" s="28">
        <f>ROUND(T223/MAX(Q223,1),3)</f>
        <v/>
      </c>
      <c r="AC223" s="32" t="inlineStr">
        <is>
          <t>—</t>
        </is>
      </c>
      <c r="AD223" s="32" t="inlineStr">
        <is>
          <t>Treated like Rabid Rabbit, the middle of the 5 most similar EN dishes: you left it unchanged</t>
        </is>
      </c>
      <c r="AE223" s="32" t="inlineStr">
        <is>
          <t>Rabid Rabbit (EN Lv17: unchanged)</t>
        </is>
      </c>
      <c r="AF223" s="32" t="inlineStr">
        <is>
          <t>Nuke Fondue, Quasar Coffee, Jumble Eye-ah, Puking Duck, Rabid Rabbit</t>
        </is>
      </c>
      <c r="AG223" s="32" t="inlineStr">
        <is>
          <t>Event dish: offline unlock undecided (START_HERE §8)</t>
        </is>
      </c>
      <c r="AH223" s="28" t="inlineStr"/>
      <c r="AI223" s="28" t="inlineStr"/>
      <c r="AJ223" s="28" t="inlineStr"/>
      <c r="AK223" s="28" t="inlineStr">
        <is>
          <t>パイルドライバーステーキ</t>
        </is>
      </c>
    </row>
    <row r="224">
      <c r="A224" s="28" t="n">
        <v>221</v>
      </c>
      <c r="B224" s="28" t="inlineStr">
        <is>
          <t>Miso Bread</t>
        </is>
      </c>
      <c r="C224" s="28" t="n">
        <v>27</v>
      </c>
      <c r="D224" s="28" t="inlineStr">
        <is>
          <t>Event recipe (late)</t>
        </is>
      </c>
      <c r="E224" s="28" t="inlineStr">
        <is>
          <t>JP-only</t>
        </is>
      </c>
      <c r="F224" s="28" t="inlineStr"/>
      <c r="G224" s="35" t="inlineStr">
        <is>
          <t>EN pattern: hold</t>
        </is>
      </c>
      <c r="H224" s="30">
        <f>IF(W224&gt;0,X224/W224-1,"")</f>
        <v/>
      </c>
      <c r="I224" s="28" t="inlineStr"/>
      <c r="J224" s="28" t="inlineStr"/>
      <c r="K224" s="31" t="n">
        <v>1000</v>
      </c>
      <c r="L224" s="28" t="n">
        <v>180</v>
      </c>
      <c r="M224" s="31" t="n">
        <v>300</v>
      </c>
      <c r="N224" s="28" t="n">
        <v>6</v>
      </c>
      <c r="O224" s="28" t="n">
        <v>100</v>
      </c>
      <c r="P224" s="31" t="n">
        <v>1000</v>
      </c>
      <c r="Q224" s="28" t="n">
        <v>180</v>
      </c>
      <c r="R224" s="31" t="n">
        <v>300</v>
      </c>
      <c r="S224" s="28" t="n">
        <v>6</v>
      </c>
      <c r="T224" s="28" t="n">
        <v>100</v>
      </c>
      <c r="U224" s="31" t="n">
        <v>800</v>
      </c>
      <c r="V224" s="31">
        <f>R224*S224-P224</f>
        <v/>
      </c>
      <c r="W224" s="28" t="n">
        <v>4.44</v>
      </c>
      <c r="X224" s="28">
        <f>ROUND(V224/MAX(Q224,1),2)</f>
        <v/>
      </c>
      <c r="Y224" s="28" t="n">
        <v>0.8</v>
      </c>
      <c r="Z224" s="28">
        <f>IF(P224&gt;0,ROUND(V224/P224,2),"")</f>
        <v/>
      </c>
      <c r="AA224" s="28" t="n">
        <v>0.556</v>
      </c>
      <c r="AB224" s="28">
        <f>ROUND(T224/MAX(Q224,1),3)</f>
        <v/>
      </c>
      <c r="AC224" s="32" t="inlineStr">
        <is>
          <t>—</t>
        </is>
      </c>
      <c r="AD224" s="32" t="inlineStr">
        <is>
          <t>Treated like Leech Melba, the middle of the 5 most similar EN dishes: you changed it servings +2% (profit ×1.03)</t>
        </is>
      </c>
      <c r="AE224" s="32" t="inlineStr">
        <is>
          <t>Leech Melba (EN Lv26: servings +2%)</t>
        </is>
      </c>
      <c r="AF224" s="32" t="inlineStr">
        <is>
          <t>Putrefied Clam Chowder, Leech Melba, Net Prawn, Fish Bones &amp; Gold Chips, English Breakfast Pizza</t>
        </is>
      </c>
      <c r="AG224" s="32" t="inlineStr">
        <is>
          <t>Event dish: offline unlock undecided (START_HERE §8)</t>
        </is>
      </c>
      <c r="AH224" s="28" t="inlineStr"/>
      <c r="AI224" s="28" t="inlineStr"/>
      <c r="AJ224" s="28" t="inlineStr"/>
      <c r="AK224" s="28" t="inlineStr">
        <is>
          <t>みそパン</t>
        </is>
      </c>
    </row>
    <row r="225">
      <c r="A225" s="28" t="n">
        <v>222</v>
      </c>
      <c r="B225" s="28" t="inlineStr">
        <is>
          <t>Angel Ring</t>
        </is>
      </c>
      <c r="C225" s="28" t="n">
        <v>16</v>
      </c>
      <c r="D225" s="28" t="inlineStr">
        <is>
          <t>Event recipe (late)</t>
        </is>
      </c>
      <c r="E225" s="28" t="inlineStr">
        <is>
          <t>JP-only</t>
        </is>
      </c>
      <c r="F225" s="28" t="inlineStr"/>
      <c r="G225" s="35" t="inlineStr">
        <is>
          <t>EN pattern: hold</t>
        </is>
      </c>
      <c r="H225" s="30">
        <f>IF(W225&gt;0,X225/W225-1,"")</f>
        <v/>
      </c>
      <c r="I225" s="28" t="inlineStr"/>
      <c r="J225" s="28" t="inlineStr"/>
      <c r="K225" s="31" t="n">
        <v>400</v>
      </c>
      <c r="L225" s="28" t="n">
        <v>150</v>
      </c>
      <c r="M225" s="31" t="n">
        <v>320</v>
      </c>
      <c r="N225" s="28" t="n">
        <v>5</v>
      </c>
      <c r="O225" s="28" t="n">
        <v>70</v>
      </c>
      <c r="P225" s="31" t="n">
        <v>400</v>
      </c>
      <c r="Q225" s="28" t="n">
        <v>150</v>
      </c>
      <c r="R225" s="31" t="n">
        <v>320</v>
      </c>
      <c r="S225" s="28" t="n">
        <v>5</v>
      </c>
      <c r="T225" s="28" t="n">
        <v>70</v>
      </c>
      <c r="U225" s="31" t="n">
        <v>1200</v>
      </c>
      <c r="V225" s="31">
        <f>R225*S225-P225</f>
        <v/>
      </c>
      <c r="W225" s="28" t="n">
        <v>8</v>
      </c>
      <c r="X225" s="28">
        <f>ROUND(V225/MAX(Q225,1),2)</f>
        <v/>
      </c>
      <c r="Y225" s="28" t="n">
        <v>3</v>
      </c>
      <c r="Z225" s="28">
        <f>IF(P225&gt;0,ROUND(V225/P225,2),"")</f>
        <v/>
      </c>
      <c r="AA225" s="28" t="n">
        <v>0.467</v>
      </c>
      <c r="AB225" s="28">
        <f>ROUND(T225/MAX(Q225,1),3)</f>
        <v/>
      </c>
      <c r="AC225" s="32" t="inlineStr">
        <is>
          <t>—</t>
        </is>
      </c>
      <c r="AD225" s="32" t="inlineStr">
        <is>
          <t>Treated like Leech Melba, the middle of the 5 most similar EN dishes: you changed it servings +2% (profit ×1.03)</t>
        </is>
      </c>
      <c r="AE225" s="32" t="inlineStr">
        <is>
          <t>Leech Melba (EN Lv26: servings +2%)</t>
        </is>
      </c>
      <c r="AF225" s="32" t="inlineStr">
        <is>
          <t>Tweet Loaf, Leech Melba, Caramel Adam's Apple, Buffalo Wings, Sandwitch</t>
        </is>
      </c>
      <c r="AG225" s="32" t="inlineStr">
        <is>
          <t>Loose match: no EN dish is very close; Quick-cash dish already (8.0 $/min); Event dish: offline unlock undecided (START_HERE §8)</t>
        </is>
      </c>
      <c r="AH225" s="28" t="inlineStr"/>
      <c r="AI225" s="28" t="inlineStr"/>
      <c r="AJ225" s="28" t="inlineStr"/>
      <c r="AK225" s="28" t="inlineStr">
        <is>
          <t>天使リング</t>
        </is>
      </c>
    </row>
    <row r="226">
      <c r="A226" s="28" t="n">
        <v>223</v>
      </c>
      <c r="B226" s="28" t="inlineStr">
        <is>
          <t>Roast Deer Head</t>
        </is>
      </c>
      <c r="C226" s="28" t="n">
        <v>42</v>
      </c>
      <c r="D226" s="28" t="inlineStr">
        <is>
          <t>Event recipe (late)</t>
        </is>
      </c>
      <c r="E226" s="28" t="inlineStr">
        <is>
          <t>JP-only</t>
        </is>
      </c>
      <c r="F226" s="28" t="inlineStr"/>
      <c r="G226" s="35" t="inlineStr">
        <is>
          <t>EN pattern: hold</t>
        </is>
      </c>
      <c r="H226" s="30">
        <f>IF(W226&gt;0,X226/W226-1,"")</f>
        <v/>
      </c>
      <c r="I226" s="28" t="inlineStr"/>
      <c r="J226" s="28" t="inlineStr"/>
      <c r="K226" s="31" t="n">
        <v>8000</v>
      </c>
      <c r="L226" s="28" t="n">
        <v>3600</v>
      </c>
      <c r="M226" s="31" t="n">
        <v>100</v>
      </c>
      <c r="N226" s="28" t="n">
        <v>100</v>
      </c>
      <c r="O226" s="28" t="n">
        <v>200</v>
      </c>
      <c r="P226" s="31" t="n">
        <v>8000</v>
      </c>
      <c r="Q226" s="28" t="n">
        <v>3600</v>
      </c>
      <c r="R226" s="31" t="n">
        <v>100</v>
      </c>
      <c r="S226" s="28" t="n">
        <v>100</v>
      </c>
      <c r="T226" s="28" t="n">
        <v>200</v>
      </c>
      <c r="U226" s="31" t="n">
        <v>2000</v>
      </c>
      <c r="V226" s="31">
        <f>R226*S226-P226</f>
        <v/>
      </c>
      <c r="W226" s="28" t="n">
        <v>0.5600000000000001</v>
      </c>
      <c r="X226" s="28">
        <f>ROUND(V226/MAX(Q226,1),2)</f>
        <v/>
      </c>
      <c r="Y226" s="28" t="n">
        <v>0.25</v>
      </c>
      <c r="Z226" s="28">
        <f>IF(P226&gt;0,ROUND(V226/P226,2),"")</f>
        <v/>
      </c>
      <c r="AA226" s="28" t="n">
        <v>0.056</v>
      </c>
      <c r="AB226" s="28">
        <f>ROUND(T226/MAX(Q226,1),3)</f>
        <v/>
      </c>
      <c r="AC226" s="32" t="inlineStr">
        <is>
          <t>—</t>
        </is>
      </c>
      <c r="AD226" s="32" t="inlineStr">
        <is>
          <t>$100 per serving is above anything in your EN game (max $16), so no EN dish is comparable; held for your call</t>
        </is>
      </c>
      <c r="AE226" s="32" t="inlineStr"/>
      <c r="AF226" s="32" t="inlineStr"/>
      <c r="AG226" s="32" t="inlineStr">
        <is>
          <t>No comparable EN dish; Event dish: offline unlock undecided (START_HERE §8)</t>
        </is>
      </c>
      <c r="AH226" s="28" t="inlineStr"/>
      <c r="AI226" s="28" t="inlineStr"/>
      <c r="AJ226" s="28" t="inlineStr"/>
      <c r="AK226" s="28" t="inlineStr">
        <is>
          <t>シカのかぶと焼き</t>
        </is>
      </c>
    </row>
    <row r="227">
      <c r="A227" s="28" t="n">
        <v>224</v>
      </c>
      <c r="B227" s="28" t="inlineStr">
        <is>
          <t>Axl Bun</t>
        </is>
      </c>
      <c r="C227" s="28" t="n">
        <v>22</v>
      </c>
      <c r="D227" s="28" t="inlineStr">
        <is>
          <t>Event recipe (late)</t>
        </is>
      </c>
      <c r="E227" s="28" t="inlineStr">
        <is>
          <t>JP-only</t>
        </is>
      </c>
      <c r="F227" s="28" t="inlineStr"/>
      <c r="G227" s="35" t="inlineStr">
        <is>
          <t>EN pattern: hold</t>
        </is>
      </c>
      <c r="H227" s="30">
        <f>IF(W227&gt;0,X227/W227-1,"")</f>
        <v/>
      </c>
      <c r="I227" s="28" t="inlineStr"/>
      <c r="J227" s="28" t="inlineStr"/>
      <c r="K227" s="31" t="n">
        <v>2500</v>
      </c>
      <c r="L227" s="28" t="n">
        <v>1680</v>
      </c>
      <c r="M227" s="31" t="n">
        <v>500</v>
      </c>
      <c r="N227" s="28" t="n">
        <v>8</v>
      </c>
      <c r="O227" s="28" t="n">
        <v>150</v>
      </c>
      <c r="P227" s="31" t="n">
        <v>2500</v>
      </c>
      <c r="Q227" s="28" t="n">
        <v>1680</v>
      </c>
      <c r="R227" s="31" t="n">
        <v>500</v>
      </c>
      <c r="S227" s="28" t="n">
        <v>8</v>
      </c>
      <c r="T227" s="28" t="n">
        <v>150</v>
      </c>
      <c r="U227" s="31" t="n">
        <v>1500</v>
      </c>
      <c r="V227" s="31">
        <f>R227*S227-P227</f>
        <v/>
      </c>
      <c r="W227" s="28" t="n">
        <v>0.89</v>
      </c>
      <c r="X227" s="28">
        <f>ROUND(V227/MAX(Q227,1),2)</f>
        <v/>
      </c>
      <c r="Y227" s="28" t="n">
        <v>0.6</v>
      </c>
      <c r="Z227" s="28">
        <f>IF(P227&gt;0,ROUND(V227/P227,2),"")</f>
        <v/>
      </c>
      <c r="AA227" s="28" t="n">
        <v>0.089</v>
      </c>
      <c r="AB227" s="28">
        <f>ROUND(T227/MAX(Q227,1),3)</f>
        <v/>
      </c>
      <c r="AC227" s="32" t="inlineStr">
        <is>
          <t>—</t>
        </is>
      </c>
      <c r="AD227" s="32" t="inlineStr">
        <is>
          <t>Treated like Mourned Beef and Cabbage, the middle of the 5 most similar EN dishes: you left it unchanged</t>
        </is>
      </c>
      <c r="AE227" s="32" t="inlineStr">
        <is>
          <t>Mourned Beef and Cabbage (EN Lv14: unchanged)</t>
        </is>
      </c>
      <c r="AF227" s="32" t="inlineStr">
        <is>
          <t>Snot Cross Buns, Shamrock Shake, Mourned Beef and Cabbage, Fruit Cake, String (Theory) Cheese</t>
        </is>
      </c>
      <c r="AG227" s="32" t="inlineStr">
        <is>
          <t>Event dish: offline unlock undecided (START_HERE §8)</t>
        </is>
      </c>
      <c r="AH227" s="28" t="inlineStr"/>
      <c r="AI227" s="28" t="inlineStr"/>
      <c r="AJ227" s="28" t="inlineStr"/>
      <c r="AK227" s="28" t="inlineStr">
        <is>
          <t>アクセルまん</t>
        </is>
      </c>
    </row>
    <row r="228">
      <c r="A228" s="28" t="n">
        <v>225</v>
      </c>
      <c r="B228" s="28" t="inlineStr">
        <is>
          <t>Zero Bun</t>
        </is>
      </c>
      <c r="C228" s="28" t="n">
        <v>12</v>
      </c>
      <c r="D228" s="28" t="inlineStr">
        <is>
          <t>Event recipe (late)</t>
        </is>
      </c>
      <c r="E228" s="28" t="inlineStr">
        <is>
          <t>JP-only</t>
        </is>
      </c>
      <c r="F228" s="28" t="inlineStr"/>
      <c r="G228" s="34" t="inlineStr">
        <is>
          <t>EN pattern: buff</t>
        </is>
      </c>
      <c r="H228" s="30">
        <f>IF(W228&gt;0,X228/W228-1,"")</f>
        <v/>
      </c>
      <c r="I228" s="28" t="inlineStr"/>
      <c r="J228" s="28" t="inlineStr"/>
      <c r="K228" s="31" t="n">
        <v>1500</v>
      </c>
      <c r="L228" s="28" t="n">
        <v>1440</v>
      </c>
      <c r="M228" s="31" t="n">
        <v>600</v>
      </c>
      <c r="N228" s="28" t="n">
        <v>4</v>
      </c>
      <c r="O228" s="28" t="n">
        <v>130</v>
      </c>
      <c r="P228" s="31" t="n">
        <v>1500</v>
      </c>
      <c r="Q228" s="28" t="n">
        <v>1440</v>
      </c>
      <c r="R228" s="31" t="n">
        <v>635</v>
      </c>
      <c r="S228" s="28" t="n">
        <v>4</v>
      </c>
      <c r="T228" s="28" t="n">
        <v>130</v>
      </c>
      <c r="U228" s="31" t="n">
        <v>900</v>
      </c>
      <c r="V228" s="31">
        <f>R228*S228-P228</f>
        <v/>
      </c>
      <c r="W228" s="28" t="n">
        <v>0.62</v>
      </c>
      <c r="X228" s="28">
        <f>ROUND(V228/MAX(Q228,1),2)</f>
        <v/>
      </c>
      <c r="Y228" s="28" t="n">
        <v>0.6</v>
      </c>
      <c r="Z228" s="28">
        <f>IF(P228&gt;0,ROUND(V228/P228,2),"")</f>
        <v/>
      </c>
      <c r="AA228" s="28" t="n">
        <v>0.09</v>
      </c>
      <c r="AB228" s="28">
        <f>ROUND(T228/MAX(Q228,1),3)</f>
        <v/>
      </c>
      <c r="AC228" s="32" t="inlineStr">
        <is>
          <t>Servings 600-&gt;635 (+6%)</t>
        </is>
      </c>
      <c r="AD228" s="32" t="inlineStr">
        <is>
          <t>Treated like Sloppy "Joe", the middle of the 5 most similar EN dishes: you changed it servings +6% (profit ×1.14)</t>
        </is>
      </c>
      <c r="AE228" s="32" t="inlineStr">
        <is>
          <t>Sloppy "Joe" (EN Lv6: servings +6%)</t>
        </is>
      </c>
      <c r="AF228" s="32" t="inlineStr">
        <is>
          <t>Sloppy "Joe", Wormicelli, Bangers &amp; Mush, Rotisserie Chicken, Finger Sandwiches</t>
        </is>
      </c>
      <c r="AG228" s="32" t="inlineStr">
        <is>
          <t>Event dish: offline unlock undecided (START_HERE §8)</t>
        </is>
      </c>
      <c r="AH228" s="28" t="inlineStr"/>
      <c r="AI228" s="28" t="inlineStr"/>
      <c r="AJ228" s="28" t="inlineStr"/>
      <c r="AK228" s="28" t="inlineStr">
        <is>
          <t>ゼロまん</t>
        </is>
      </c>
    </row>
    <row r="229">
      <c r="A229" s="28" t="n">
        <v>226</v>
      </c>
      <c r="B229" s="28" t="inlineStr">
        <is>
          <t>Over-1 Bun</t>
        </is>
      </c>
      <c r="C229" s="28" t="n">
        <v>32</v>
      </c>
      <c r="D229" s="28" t="inlineStr">
        <is>
          <t>Event recipe (late)</t>
        </is>
      </c>
      <c r="E229" s="28" t="inlineStr">
        <is>
          <t>JP-only</t>
        </is>
      </c>
      <c r="F229" s="28" t="inlineStr"/>
      <c r="G229" s="34" t="inlineStr">
        <is>
          <t>EN pattern: buff</t>
        </is>
      </c>
      <c r="H229" s="30">
        <f>IF(W229&gt;0,X229/W229-1,"")</f>
        <v/>
      </c>
      <c r="I229" s="28" t="inlineStr"/>
      <c r="J229" s="28" t="inlineStr"/>
      <c r="K229" s="31" t="n">
        <v>3000</v>
      </c>
      <c r="L229" s="28" t="n">
        <v>2880</v>
      </c>
      <c r="M229" s="31" t="n">
        <v>800</v>
      </c>
      <c r="N229" s="28" t="n">
        <v>7</v>
      </c>
      <c r="O229" s="28" t="n">
        <v>200</v>
      </c>
      <c r="P229" s="31" t="n">
        <v>2075</v>
      </c>
      <c r="Q229" s="28" t="n">
        <v>2880</v>
      </c>
      <c r="R229" s="31" t="n">
        <v>800</v>
      </c>
      <c r="S229" s="28" t="n">
        <v>7</v>
      </c>
      <c r="T229" s="28" t="n">
        <v>200</v>
      </c>
      <c r="U229" s="31" t="n">
        <v>2600</v>
      </c>
      <c r="V229" s="31">
        <f>R229*S229-P229</f>
        <v/>
      </c>
      <c r="W229" s="28" t="n">
        <v>0.9</v>
      </c>
      <c r="X229" s="28">
        <f>ROUND(V229/MAX(Q229,1),2)</f>
        <v/>
      </c>
      <c r="Y229" s="28" t="n">
        <v>0.87</v>
      </c>
      <c r="Z229" s="28">
        <f>IF(P229&gt;0,ROUND(V229/P229,2),"")</f>
        <v/>
      </c>
      <c r="AA229" s="28" t="n">
        <v>0.06900000000000001</v>
      </c>
      <c r="AB229" s="28">
        <f>ROUND(T229/MAX(Q229,1),3)</f>
        <v/>
      </c>
      <c r="AC229" s="32" t="inlineStr">
        <is>
          <t>Cost 3,000-&gt;2,075 (-31%)</t>
        </is>
      </c>
      <c r="AD229" s="32" t="inlineStr">
        <is>
          <t>Treated like Bleeding Hearts, the middle of the 5 most similar EN dishes: you changed it cost -31%, servings -22% (profit ×1.00)</t>
        </is>
      </c>
      <c r="AE229" s="32" t="inlineStr">
        <is>
          <t>Bleeding Hearts (EN Lv32: cost -31%, servings -22%)</t>
        </is>
      </c>
      <c r="AF229" s="32" t="inlineStr">
        <is>
          <t>Pigs in a Blanket, Grief Brisket, Fruit Cake, Snot Cross Buns, Bleeding Hearts</t>
        </is>
      </c>
      <c r="AG229" s="32" t="inlineStr">
        <is>
          <t>Event dish: offline unlock undecided (START_HERE §8)</t>
        </is>
      </c>
      <c r="AH229" s="28" t="inlineStr"/>
      <c r="AI229" s="28" t="inlineStr"/>
      <c r="AJ229" s="28" t="inlineStr"/>
      <c r="AK229" s="28" t="inlineStr">
        <is>
          <t>Over-まん</t>
        </is>
      </c>
    </row>
    <row r="230">
      <c r="A230" s="28" t="n">
        <v>227</v>
      </c>
      <c r="B230" s="28" t="inlineStr">
        <is>
          <t>Zombie Pancakes</t>
        </is>
      </c>
      <c r="C230" s="28" t="n">
        <v>26</v>
      </c>
      <c r="D230" s="28" t="inlineStr">
        <is>
          <t>Event recipe (late)</t>
        </is>
      </c>
      <c r="E230" s="28" t="inlineStr">
        <is>
          <t>JP-only</t>
        </is>
      </c>
      <c r="F230" s="28" t="inlineStr"/>
      <c r="G230" s="35" t="inlineStr">
        <is>
          <t>EN pattern: hold</t>
        </is>
      </c>
      <c r="H230" s="30">
        <f>IF(W230&gt;0,X230/W230-1,"")</f>
        <v/>
      </c>
      <c r="I230" s="28" t="inlineStr"/>
      <c r="J230" s="28" t="inlineStr"/>
      <c r="K230" s="31" t="n">
        <v>900</v>
      </c>
      <c r="L230" s="28" t="n">
        <v>60</v>
      </c>
      <c r="M230" s="31" t="n">
        <v>900</v>
      </c>
      <c r="N230" s="28" t="n">
        <v>2</v>
      </c>
      <c r="O230" s="28" t="n">
        <v>40</v>
      </c>
      <c r="P230" s="31" t="n">
        <v>900</v>
      </c>
      <c r="Q230" s="28" t="n">
        <v>60</v>
      </c>
      <c r="R230" s="31" t="n">
        <v>900</v>
      </c>
      <c r="S230" s="28" t="n">
        <v>2</v>
      </c>
      <c r="T230" s="28" t="n">
        <v>40</v>
      </c>
      <c r="U230" s="31" t="n">
        <v>900</v>
      </c>
      <c r="V230" s="31">
        <f>R230*S230-P230</f>
        <v/>
      </c>
      <c r="W230" s="28" t="n">
        <v>15</v>
      </c>
      <c r="X230" s="28">
        <f>ROUND(V230/MAX(Q230,1),2)</f>
        <v/>
      </c>
      <c r="Y230" s="28" t="n">
        <v>1</v>
      </c>
      <c r="Z230" s="28">
        <f>IF(P230&gt;0,ROUND(V230/P230,2),"")</f>
        <v/>
      </c>
      <c r="AA230" s="28" t="n">
        <v>0.667</v>
      </c>
      <c r="AB230" s="28">
        <f>ROUND(T230/MAX(Q230,1),3)</f>
        <v/>
      </c>
      <c r="AC230" s="32" t="inlineStr">
        <is>
          <t>—</t>
        </is>
      </c>
      <c r="AD230" s="32" t="inlineStr">
        <is>
          <t>Treated like Caramel Adam's Apple, the middle of the 5 most similar EN dishes: you left it unchanged</t>
        </is>
      </c>
      <c r="AE230" s="32" t="inlineStr">
        <is>
          <t>Caramel Adam's Apple (EN Lv5: unchanged)</t>
        </is>
      </c>
      <c r="AF230" s="32" t="inlineStr">
        <is>
          <t>Sandwitch, Brain Washer Soup, Caramel Adam's Apple, Putrefied Clam Chowder, Leech Melba</t>
        </is>
      </c>
      <c r="AG230" s="32" t="inlineStr">
        <is>
          <t>Loose match: no EN dish is very close; Quick-cash dish already (15.0 $/min); Event dish: offline unlock undecided (START_HERE §8)</t>
        </is>
      </c>
      <c r="AH230" s="28" t="inlineStr"/>
      <c r="AI230" s="28" t="inlineStr"/>
      <c r="AJ230" s="28" t="inlineStr"/>
      <c r="AK230" s="28" t="inlineStr">
        <is>
          <t>ゾンビパンケーキ</t>
        </is>
      </c>
    </row>
    <row r="231">
      <c r="A231" s="28" t="n">
        <v>228</v>
      </c>
      <c r="B231" s="28" t="inlineStr">
        <is>
          <t>Eyeball Dango</t>
        </is>
      </c>
      <c r="C231" s="28" t="n">
        <v>14</v>
      </c>
      <c r="D231" s="28" t="inlineStr">
        <is>
          <t>Event recipe (late)</t>
        </is>
      </c>
      <c r="E231" s="28" t="inlineStr">
        <is>
          <t>JP-only</t>
        </is>
      </c>
      <c r="F231" s="28" t="inlineStr"/>
      <c r="G231" s="34" t="inlineStr">
        <is>
          <t>EN pattern: buff</t>
        </is>
      </c>
      <c r="H231" s="30">
        <f>IF(W231&gt;0,X231/W231-1,"")</f>
        <v/>
      </c>
      <c r="I231" s="28" t="inlineStr"/>
      <c r="J231" s="28" t="inlineStr"/>
      <c r="K231" s="31" t="n">
        <v>400</v>
      </c>
      <c r="L231" s="28" t="n">
        <v>180</v>
      </c>
      <c r="M231" s="31" t="n">
        <v>150</v>
      </c>
      <c r="N231" s="28" t="n">
        <v>8</v>
      </c>
      <c r="O231" s="28" t="n">
        <v>60</v>
      </c>
      <c r="P231" s="31" t="n">
        <v>400</v>
      </c>
      <c r="Q231" s="28" t="n">
        <v>180</v>
      </c>
      <c r="R231" s="31" t="n">
        <v>160</v>
      </c>
      <c r="S231" s="28" t="n">
        <v>8</v>
      </c>
      <c r="T231" s="28" t="n">
        <v>60</v>
      </c>
      <c r="U231" s="31" t="n">
        <v>800</v>
      </c>
      <c r="V231" s="31">
        <f>R231*S231-P231</f>
        <v/>
      </c>
      <c r="W231" s="28" t="n">
        <v>4.44</v>
      </c>
      <c r="X231" s="28">
        <f>ROUND(V231/MAX(Q231,1),2)</f>
        <v/>
      </c>
      <c r="Y231" s="28" t="n">
        <v>2</v>
      </c>
      <c r="Z231" s="28">
        <f>IF(P231&gt;0,ROUND(V231/P231,2),"")</f>
        <v/>
      </c>
      <c r="AA231" s="28" t="n">
        <v>0.333</v>
      </c>
      <c r="AB231" s="28">
        <f>ROUND(T231/MAX(Q231,1),3)</f>
        <v/>
      </c>
      <c r="AC231" s="32" t="inlineStr">
        <is>
          <t>Servings 150-&gt;160 (+7%)</t>
        </is>
      </c>
      <c r="AD231" s="32" t="inlineStr">
        <is>
          <t>Treated like Buffalo Wings, the middle of the 5 most similar EN dishes: you changed it servings +6% (profit ×1.09)</t>
        </is>
      </c>
      <c r="AE231" s="32" t="inlineStr">
        <is>
          <t>Buffalo Wings (EN Lv27: servings +6%)</t>
        </is>
      </c>
      <c r="AF231" s="32" t="inlineStr">
        <is>
          <t>Leech Melba, Tweet Loaf, Dark Matter Loaf, Fish Bones &amp; Gold Chips, Buffalo Wings</t>
        </is>
      </c>
      <c r="AG231" s="32" t="inlineStr">
        <is>
          <t>Event dish: offline unlock undecided (START_HERE §8)</t>
        </is>
      </c>
      <c r="AH231" s="28" t="inlineStr"/>
      <c r="AI231" s="28" t="inlineStr"/>
      <c r="AJ231" s="28" t="inlineStr"/>
      <c r="AK231" s="28" t="inlineStr">
        <is>
          <t>目玉団子</t>
        </is>
      </c>
    </row>
    <row r="232">
      <c r="A232" s="28" t="n">
        <v>229</v>
      </c>
      <c r="B232" s="28" t="inlineStr">
        <is>
          <t>Zombie Bun</t>
        </is>
      </c>
      <c r="C232" s="28" t="n">
        <v>4</v>
      </c>
      <c r="D232" s="28" t="inlineStr">
        <is>
          <t>Event recipe (late)</t>
        </is>
      </c>
      <c r="E232" s="28" t="inlineStr">
        <is>
          <t>JP-only</t>
        </is>
      </c>
      <c r="F232" s="28" t="inlineStr"/>
      <c r="G232" s="34" t="inlineStr">
        <is>
          <t>EN pattern: buff</t>
        </is>
      </c>
      <c r="H232" s="30">
        <f>IF(W232&gt;0,X232/W232-1,"")</f>
        <v/>
      </c>
      <c r="I232" s="28" t="inlineStr"/>
      <c r="J232" s="28" t="inlineStr"/>
      <c r="K232" s="31" t="n">
        <v>900</v>
      </c>
      <c r="L232" s="28" t="n">
        <v>720</v>
      </c>
      <c r="M232" s="31" t="n">
        <v>555</v>
      </c>
      <c r="N232" s="28" t="n">
        <v>5</v>
      </c>
      <c r="O232" s="28" t="n">
        <v>100</v>
      </c>
      <c r="P232" s="31" t="n">
        <v>670</v>
      </c>
      <c r="Q232" s="28" t="n">
        <v>720</v>
      </c>
      <c r="R232" s="31" t="n">
        <v>555</v>
      </c>
      <c r="S232" s="28" t="n">
        <v>5</v>
      </c>
      <c r="T232" s="28" t="n">
        <v>100</v>
      </c>
      <c r="U232" s="31" t="n">
        <v>1875</v>
      </c>
      <c r="V232" s="31">
        <f>R232*S232-P232</f>
        <v/>
      </c>
      <c r="W232" s="28" t="n">
        <v>2.6</v>
      </c>
      <c r="X232" s="28">
        <f>ROUND(V232/MAX(Q232,1),2)</f>
        <v/>
      </c>
      <c r="Y232" s="28" t="n">
        <v>2.08</v>
      </c>
      <c r="Z232" s="28">
        <f>IF(P232&gt;0,ROUND(V232/P232,2),"")</f>
        <v/>
      </c>
      <c r="AA232" s="28" t="n">
        <v>0.139</v>
      </c>
      <c r="AB232" s="28">
        <f>ROUND(T232/MAX(Q232,1),3)</f>
        <v/>
      </c>
      <c r="AC232" s="32" t="inlineStr">
        <is>
          <t>Cost 900-&gt;670 (-26%)</t>
        </is>
      </c>
      <c r="AD232" s="32" t="inlineStr">
        <is>
          <t>Treated like Puking Duck, the middle of the 5 most similar EN dishes: you changed it servings +7% (profit ×1.12)</t>
        </is>
      </c>
      <c r="AE232" s="32" t="inlineStr">
        <is>
          <t>Puking Duck (EN Lv16: servings +7%)</t>
        </is>
      </c>
      <c r="AF232" s="32" t="inlineStr">
        <is>
          <t>Entropy Cassoulet, Festering Hot Chocolate, Beeline Honey Glazed "Ham", Dark Matter Loaf, Puking Duck</t>
        </is>
      </c>
      <c r="AG232" s="32" t="inlineStr">
        <is>
          <t>Flavour/bulk number kept; gain moved to another number; Event dish: offline unlock undecided (START_HERE §8)</t>
        </is>
      </c>
      <c r="AH232" s="28" t="inlineStr"/>
      <c r="AI232" s="28" t="inlineStr"/>
      <c r="AJ232" s="28" t="inlineStr"/>
      <c r="AK232" s="28" t="inlineStr">
        <is>
          <t>ゾンビまん</t>
        </is>
      </c>
    </row>
    <row r="233">
      <c r="A233" s="28" t="n">
        <v>230</v>
      </c>
      <c r="B233" s="28" t="inlineStr">
        <is>
          <t>Zero-G Steak</t>
        </is>
      </c>
      <c r="C233" s="28" t="n">
        <v>29</v>
      </c>
      <c r="D233" s="28" t="inlineStr">
        <is>
          <t>Event recipe (late)</t>
        </is>
      </c>
      <c r="E233" s="28" t="inlineStr">
        <is>
          <t>JP-only</t>
        </is>
      </c>
      <c r="F233" s="28" t="inlineStr"/>
      <c r="G233" s="34" t="inlineStr">
        <is>
          <t>EN pattern: buff</t>
        </is>
      </c>
      <c r="H233" s="30">
        <f>IF(W233&gt;0,X233/W233-1,"")</f>
        <v/>
      </c>
      <c r="I233" s="28" t="inlineStr"/>
      <c r="J233" s="28" t="inlineStr"/>
      <c r="K233" s="31" t="n">
        <v>8000</v>
      </c>
      <c r="L233" s="28" t="n">
        <v>1680</v>
      </c>
      <c r="M233" s="31" t="n">
        <v>1000</v>
      </c>
      <c r="N233" s="28" t="n">
        <v>12</v>
      </c>
      <c r="O233" s="28" t="n">
        <v>200</v>
      </c>
      <c r="P233" s="31" t="n">
        <v>5550</v>
      </c>
      <c r="Q233" s="28" t="n">
        <v>1680</v>
      </c>
      <c r="R233" s="31" t="n">
        <v>840</v>
      </c>
      <c r="S233" s="28" t="n">
        <v>12</v>
      </c>
      <c r="T233" s="28" t="n">
        <v>200</v>
      </c>
      <c r="U233" s="31" t="n">
        <v>4000</v>
      </c>
      <c r="V233" s="31">
        <f>R233*S233-P233</f>
        <v/>
      </c>
      <c r="W233" s="28" t="n">
        <v>2.38</v>
      </c>
      <c r="X233" s="28">
        <f>ROUND(V233/MAX(Q233,1),2)</f>
        <v/>
      </c>
      <c r="Y233" s="28" t="n">
        <v>0.5</v>
      </c>
      <c r="Z233" s="28">
        <f>IF(P233&gt;0,ROUND(V233/P233,2),"")</f>
        <v/>
      </c>
      <c r="AA233" s="28" t="n">
        <v>0.119</v>
      </c>
      <c r="AB233" s="28">
        <f>ROUND(T233/MAX(Q233,1),3)</f>
        <v/>
      </c>
      <c r="AC233" s="32" t="inlineStr">
        <is>
          <t>Cost 8,000-&gt;5,550 (-31%); Servings 1,000-&gt;840 (-16%)</t>
        </is>
      </c>
      <c r="AD233" s="32" t="inlineStr">
        <is>
          <t>Treated like Deep Fried Bacon Wrapped Pizza, the middle of the 5 most similar EN dishes: you changed it cost -30%, servings -16% (profit ×1.01)</t>
        </is>
      </c>
      <c r="AE233" s="32" t="inlineStr">
        <is>
          <t>Deep Fried Bacon Wrapped Pizza (EN Lv29: cost -30%, servings -16%)</t>
        </is>
      </c>
      <c r="AF233" s="32" t="inlineStr">
        <is>
          <t>Grief Brisket, Deep Fried Bacon Wrapped Pizza, Escargut, Fruit Cake, Pigs in a Blanket</t>
        </is>
      </c>
      <c r="AG233" s="32" t="inlineStr">
        <is>
          <t>Loose match: no EN dish is very close; Event dish: offline unlock undecided (START_HERE §8)</t>
        </is>
      </c>
      <c r="AH233" s="28" t="inlineStr"/>
      <c r="AI233" s="28" t="inlineStr"/>
      <c r="AJ233" s="28" t="inlineStr"/>
      <c r="AK233" s="28" t="inlineStr">
        <is>
          <t>無重力ステーキ</t>
        </is>
      </c>
    </row>
    <row r="234">
      <c r="A234" s="28" t="n">
        <v>231</v>
      </c>
      <c r="B234" s="28" t="inlineStr">
        <is>
          <t>Pluto Juice</t>
        </is>
      </c>
      <c r="C234" s="28" t="n">
        <v>35</v>
      </c>
      <c r="D234" s="28" t="inlineStr">
        <is>
          <t>Event recipe (late)</t>
        </is>
      </c>
      <c r="E234" s="28" t="inlineStr">
        <is>
          <t>JP-only</t>
        </is>
      </c>
      <c r="F234" s="28" t="inlineStr"/>
      <c r="G234" s="34" t="inlineStr">
        <is>
          <t>EN pattern: buff</t>
        </is>
      </c>
      <c r="H234" s="30">
        <f>IF(W234&gt;0,X234/W234-1,"")</f>
        <v/>
      </c>
      <c r="I234" s="28" t="inlineStr"/>
      <c r="J234" s="28" t="inlineStr"/>
      <c r="K234" s="31" t="n">
        <v>1600</v>
      </c>
      <c r="L234" s="28" t="n">
        <v>2400</v>
      </c>
      <c r="M234" s="31" t="n">
        <v>400</v>
      </c>
      <c r="N234" s="28" t="n">
        <v>10</v>
      </c>
      <c r="O234" s="28" t="n">
        <v>120</v>
      </c>
      <c r="P234" s="31" t="n">
        <v>1600</v>
      </c>
      <c r="Q234" s="28" t="n">
        <v>2400</v>
      </c>
      <c r="R234" s="31" t="n">
        <v>430</v>
      </c>
      <c r="S234" s="28" t="n">
        <v>10</v>
      </c>
      <c r="T234" s="28" t="n">
        <v>120</v>
      </c>
      <c r="U234" s="31" t="n">
        <v>2400</v>
      </c>
      <c r="V234" s="31">
        <f>R234*S234-P234</f>
        <v/>
      </c>
      <c r="W234" s="28" t="n">
        <v>1</v>
      </c>
      <c r="X234" s="28">
        <f>ROUND(V234/MAX(Q234,1),2)</f>
        <v/>
      </c>
      <c r="Y234" s="28" t="n">
        <v>1.5</v>
      </c>
      <c r="Z234" s="28">
        <f>IF(P234&gt;0,ROUND(V234/P234,2),"")</f>
        <v/>
      </c>
      <c r="AA234" s="28" t="n">
        <v>0.05</v>
      </c>
      <c r="AB234" s="28">
        <f>ROUND(T234/MAX(Q234,1),3)</f>
        <v/>
      </c>
      <c r="AC234" s="32" t="inlineStr">
        <is>
          <t>Servings 400-&gt;430 (+8%)</t>
        </is>
      </c>
      <c r="AD234" s="32" t="inlineStr">
        <is>
          <t>Treated like Puking Duck, the middle of the 5 most similar EN dishes: you changed it servings +7% (profit ×1.12)</t>
        </is>
      </c>
      <c r="AE234" s="32" t="inlineStr">
        <is>
          <t>Puking Duck (EN Lv16: servings +7%)</t>
        </is>
      </c>
      <c r="AF234" s="32" t="inlineStr">
        <is>
          <t>Head Cheese Pizza, Pigs in a Blanket, Grief Brisket, Puking Duck, Quasar Coffee</t>
        </is>
      </c>
      <c r="AG234" s="32" t="inlineStr">
        <is>
          <t>Loose match: no EN dish is very close; Event dish: offline unlock undecided (START_HERE §8)</t>
        </is>
      </c>
      <c r="AH234" s="28" t="inlineStr"/>
      <c r="AI234" s="28" t="inlineStr"/>
      <c r="AJ234" s="28" t="inlineStr"/>
      <c r="AK234" s="28" t="inlineStr">
        <is>
          <t>プルトーンジュース</t>
        </is>
      </c>
    </row>
    <row r="235">
      <c r="A235" s="28" t="n">
        <v>232</v>
      </c>
      <c r="B235" s="28" t="inlineStr">
        <is>
          <t>Vampire Stew</t>
        </is>
      </c>
      <c r="C235" s="28" t="n">
        <v>8</v>
      </c>
      <c r="D235" s="28" t="inlineStr">
        <is>
          <t>Event recipe (late)</t>
        </is>
      </c>
      <c r="E235" s="28" t="inlineStr">
        <is>
          <t>JP-only</t>
        </is>
      </c>
      <c r="F235" s="28" t="inlineStr"/>
      <c r="G235" s="34" t="inlineStr">
        <is>
          <t>EN pattern: buff</t>
        </is>
      </c>
      <c r="H235" s="30">
        <f>IF(W235&gt;0,X235/W235-1,"")</f>
        <v/>
      </c>
      <c r="I235" s="28" t="inlineStr"/>
      <c r="J235" s="28" t="inlineStr"/>
      <c r="K235" s="31" t="n">
        <v>450</v>
      </c>
      <c r="L235" s="28" t="n">
        <v>360</v>
      </c>
      <c r="M235" s="31" t="n">
        <v>300</v>
      </c>
      <c r="N235" s="28" t="n">
        <v>6</v>
      </c>
      <c r="O235" s="28" t="n">
        <v>60</v>
      </c>
      <c r="P235" s="31" t="n">
        <v>450</v>
      </c>
      <c r="Q235" s="28" t="n">
        <v>360</v>
      </c>
      <c r="R235" s="31" t="n">
        <v>320</v>
      </c>
      <c r="S235" s="28" t="n">
        <v>6</v>
      </c>
      <c r="T235" s="28" t="n">
        <v>60</v>
      </c>
      <c r="U235" s="31" t="n">
        <v>1350</v>
      </c>
      <c r="V235" s="31">
        <f>R235*S235-P235</f>
        <v/>
      </c>
      <c r="W235" s="28" t="n">
        <v>3.75</v>
      </c>
      <c r="X235" s="28">
        <f>ROUND(V235/MAX(Q235,1),2)</f>
        <v/>
      </c>
      <c r="Y235" s="28" t="n">
        <v>3</v>
      </c>
      <c r="Z235" s="28">
        <f>IF(P235&gt;0,ROUND(V235/P235,2),"")</f>
        <v/>
      </c>
      <c r="AA235" s="28" t="n">
        <v>0.167</v>
      </c>
      <c r="AB235" s="28">
        <f>ROUND(T235/MAX(Q235,1),3)</f>
        <v/>
      </c>
      <c r="AC235" s="32" t="inlineStr">
        <is>
          <t>Servings 300-&gt;320 (+7%)</t>
        </is>
      </c>
      <c r="AD235" s="32" t="inlineStr">
        <is>
          <t>Treated like Buffalo Wings, the middle of the 5 most similar EN dishes: you changed it servings +6% (profit ×1.09)</t>
        </is>
      </c>
      <c r="AE235" s="32" t="inlineStr">
        <is>
          <t>Buffalo Wings (EN Lv27: servings +6%)</t>
        </is>
      </c>
      <c r="AF235" s="32" t="inlineStr">
        <is>
          <t>Dark Matter Loaf, Beeline Honey Glazed "Ham", Buffalo Wings, Festering Hot Chocolate, Leech Melba</t>
        </is>
      </c>
      <c r="AG235" s="32" t="inlineStr">
        <is>
          <t>Event dish: offline unlock undecided (START_HERE §8)</t>
        </is>
      </c>
      <c r="AH235" s="28" t="inlineStr"/>
      <c r="AI235" s="28" t="inlineStr"/>
      <c r="AJ235" s="28" t="inlineStr"/>
      <c r="AK235" s="28" t="inlineStr">
        <is>
          <t>ヴァンパイアシチュー</t>
        </is>
      </c>
    </row>
    <row r="236">
      <c r="A236" s="28" t="n">
        <v>233</v>
      </c>
      <c r="B236" s="28" t="inlineStr">
        <is>
          <t>Ice Coffin</t>
        </is>
      </c>
      <c r="C236" s="28" t="n">
        <v>21</v>
      </c>
      <c r="D236" s="28" t="inlineStr">
        <is>
          <t>Event recipe (late)</t>
        </is>
      </c>
      <c r="E236" s="28" t="inlineStr">
        <is>
          <t>JP-only</t>
        </is>
      </c>
      <c r="F236" s="28" t="inlineStr"/>
      <c r="G236" s="35" t="inlineStr">
        <is>
          <t>EN pattern: hold</t>
        </is>
      </c>
      <c r="H236" s="30">
        <f>IF(W236&gt;0,X236/W236-1,"")</f>
        <v/>
      </c>
      <c r="I236" s="28" t="inlineStr"/>
      <c r="J236" s="28" t="inlineStr"/>
      <c r="K236" s="31" t="n">
        <v>1500</v>
      </c>
      <c r="L236" s="28" t="n">
        <v>540</v>
      </c>
      <c r="M236" s="31" t="n">
        <v>600</v>
      </c>
      <c r="N236" s="28" t="n">
        <v>5</v>
      </c>
      <c r="O236" s="28" t="n">
        <v>100</v>
      </c>
      <c r="P236" s="31" t="n">
        <v>1500</v>
      </c>
      <c r="Q236" s="28" t="n">
        <v>540</v>
      </c>
      <c r="R236" s="31" t="n">
        <v>600</v>
      </c>
      <c r="S236" s="28" t="n">
        <v>5</v>
      </c>
      <c r="T236" s="28" t="n">
        <v>100</v>
      </c>
      <c r="U236" s="31" t="n">
        <v>1500</v>
      </c>
      <c r="V236" s="31">
        <f>R236*S236-P236</f>
        <v/>
      </c>
      <c r="W236" s="28" t="n">
        <v>2.78</v>
      </c>
      <c r="X236" s="28">
        <f>ROUND(V236/MAX(Q236,1),2)</f>
        <v/>
      </c>
      <c r="Y236" s="28" t="n">
        <v>1</v>
      </c>
      <c r="Z236" s="28">
        <f>IF(P236&gt;0,ROUND(V236/P236,2),"")</f>
        <v/>
      </c>
      <c r="AA236" s="28" t="n">
        <v>0.185</v>
      </c>
      <c r="AB236" s="28">
        <f>ROUND(T236/MAX(Q236,1),3)</f>
        <v/>
      </c>
      <c r="AC236" s="32" t="inlineStr">
        <is>
          <t>—</t>
        </is>
      </c>
      <c r="AD236" s="32" t="inlineStr">
        <is>
          <t>Treated like Fried Snakeroll, the middle of the 5 most similar EN dishes: you left it unchanged</t>
        </is>
      </c>
      <c r="AE236" s="32" t="inlineStr">
        <is>
          <t>Fried Snakeroll (EN Lv20: unchanged)</t>
        </is>
      </c>
      <c r="AF236" s="32" t="inlineStr">
        <is>
          <t>Chili Chili Bang Bang, Jumble Eye-ah, Fried Snakeroll, Knuckle Sandwich, Nukes'n Puke</t>
        </is>
      </c>
      <c r="AG236" s="32" t="inlineStr">
        <is>
          <t>Event dish: offline unlock undecided (START_HERE §8)</t>
        </is>
      </c>
      <c r="AH236" s="28" t="inlineStr"/>
      <c r="AI236" s="28" t="inlineStr"/>
      <c r="AJ236" s="28" t="inlineStr"/>
      <c r="AK236" s="28" t="inlineStr">
        <is>
          <t>アイスコフィン</t>
        </is>
      </c>
    </row>
  </sheetData>
  <autoFilter ref="A2:AK236"/>
  <mergeCells count="8">
    <mergeCell ref="AH1:AJ1"/>
    <mergeCell ref="K1:O1"/>
    <mergeCell ref="AC1:AG1"/>
    <mergeCell ref="P1:T1"/>
    <mergeCell ref="G1:J1"/>
    <mergeCell ref="B1:F1"/>
    <mergeCell ref="U1:AB1"/>
    <mergeCell ref="AK1"/>
  </mergeCells>
  <conditionalFormatting sqref="H3:H236">
    <cfRule type="expression" priority="1" dxfId="0" stopIfTrue="1">
      <formula>AND(ISNUMBER($X3),ISNUMBER($W3),$X3&lt;&gt;$W3,IFERROR($X3/$W3-1,0)&gt;=2.5)</formula>
    </cfRule>
    <cfRule type="expression" priority="2" dxfId="1" stopIfTrue="1">
      <formula>AND(ISNUMBER($X3),ISNUMBER($W3),$X3&lt;&gt;$W3,IFERROR($X3/$W3-1,0)&gt;=1.5)</formula>
    </cfRule>
    <cfRule type="expression" priority="3" dxfId="2" stopIfTrue="1">
      <formula>AND(ISNUMBER($X3),ISNUMBER($W3),$X3&lt;&gt;$W3,IFERROR($X3/$W3-1,0)&gt;=1.0)</formula>
    </cfRule>
    <cfRule type="expression" priority="4" dxfId="3" stopIfTrue="1">
      <formula>AND(ISNUMBER($X3),ISNUMBER($W3),$X3&lt;&gt;$W3,IFERROR($X3/$W3-1,0)&gt;=0.75)</formula>
    </cfRule>
    <cfRule type="expression" priority="5" dxfId="4" stopIfTrue="1">
      <formula>AND(ISNUMBER($X3),ISNUMBER($W3),$X3&lt;&gt;$W3,IFERROR($X3/$W3-1,0)&gt;=0.5)</formula>
    </cfRule>
    <cfRule type="expression" priority="6" dxfId="5" stopIfTrue="1">
      <formula>AND(ISNUMBER($X3),ISNUMBER($W3),$X3&lt;&gt;$W3,IFERROR($X3/$W3-1,0)&gt;=0.35)</formula>
    </cfRule>
    <cfRule type="expression" priority="7" dxfId="6" stopIfTrue="1">
      <formula>AND(ISNUMBER($X3),ISNUMBER($W3),$X3&lt;&gt;$W3,IFERROR($X3/$W3-1,0)&gt;=0.2)</formula>
    </cfRule>
    <cfRule type="expression" priority="8" dxfId="7" stopIfTrue="1">
      <formula>AND(ISNUMBER($X3),ISNUMBER($W3),$X3&lt;&gt;$W3,IFERROR($X3/$W3-1,0)&gt;=0.1)</formula>
    </cfRule>
    <cfRule type="expression" priority="9" dxfId="8" stopIfTrue="1">
      <formula>AND(ISNUMBER($X3),ISNUMBER($W3),$X3&lt;&gt;$W3,IFERROR($X3/$W3-1,0)&gt;=0.02)</formula>
    </cfRule>
    <cfRule type="expression" priority="10" dxfId="9" stopIfTrue="1">
      <formula>AND(ISNUMBER($X3),ISNUMBER($W3),$X3&lt;&gt;$W3,IFERROR($W3/$X3-1,0)&gt;=2.5)</formula>
    </cfRule>
    <cfRule type="expression" priority="11" dxfId="10" stopIfTrue="1">
      <formula>AND(ISNUMBER($X3),ISNUMBER($W3),$X3&lt;&gt;$W3,IFERROR($W3/$X3-1,0)&gt;=1.5)</formula>
    </cfRule>
    <cfRule type="expression" priority="12" dxfId="11" stopIfTrue="1">
      <formula>AND(ISNUMBER($X3),ISNUMBER($W3),$X3&lt;&gt;$W3,IFERROR($W3/$X3-1,0)&gt;=1.0)</formula>
    </cfRule>
    <cfRule type="expression" priority="13" dxfId="12" stopIfTrue="1">
      <formula>AND(ISNUMBER($X3),ISNUMBER($W3),$X3&lt;&gt;$W3,IFERROR($W3/$X3-1,0)&gt;=0.75)</formula>
    </cfRule>
    <cfRule type="expression" priority="14" dxfId="13" stopIfTrue="1">
      <formula>AND(ISNUMBER($X3),ISNUMBER($W3),$X3&lt;&gt;$W3,IFERROR($W3/$X3-1,0)&gt;=0.5)</formula>
    </cfRule>
    <cfRule type="expression" priority="15" dxfId="14" stopIfTrue="1">
      <formula>AND(ISNUMBER($X3),ISNUMBER($W3),$X3&lt;&gt;$W3,IFERROR($W3/$X3-1,0)&gt;=0.35)</formula>
    </cfRule>
    <cfRule type="expression" priority="16" dxfId="15" stopIfTrue="1">
      <formula>AND(ISNUMBER($X3),ISNUMBER($W3),$X3&lt;&gt;$W3,IFERROR($W3/$X3-1,0)&gt;=0.2)</formula>
    </cfRule>
    <cfRule type="expression" priority="17" dxfId="16" stopIfTrue="1">
      <formula>AND(ISNUMBER($X3),ISNUMBER($W3),$X3&lt;&gt;$W3,IFERROR($W3/$X3-1,0)&gt;=0.1)</formula>
    </cfRule>
    <cfRule type="expression" priority="18" dxfId="17" stopIfTrue="1">
      <formula>AND(ISNUMBER($X3),ISNUMBER($W3),$X3&lt;&gt;$W3,IFERROR($W3/$X3-1,0)&gt;=0.02)</formula>
    </cfRule>
  </conditionalFormatting>
  <conditionalFormatting sqref="AC3:AC236">
    <cfRule type="expression" priority="19" dxfId="0" stopIfTrue="1">
      <formula>AND(ISNUMBER($X3),ISNUMBER($W3),$X3&lt;&gt;$W3,IFERROR($X3/$W3-1,0)&gt;=2.5)</formula>
    </cfRule>
    <cfRule type="expression" priority="20" dxfId="1" stopIfTrue="1">
      <formula>AND(ISNUMBER($X3),ISNUMBER($W3),$X3&lt;&gt;$W3,IFERROR($X3/$W3-1,0)&gt;=1.5)</formula>
    </cfRule>
    <cfRule type="expression" priority="21" dxfId="2" stopIfTrue="1">
      <formula>AND(ISNUMBER($X3),ISNUMBER($W3),$X3&lt;&gt;$W3,IFERROR($X3/$W3-1,0)&gt;=1.0)</formula>
    </cfRule>
    <cfRule type="expression" priority="22" dxfId="3" stopIfTrue="1">
      <formula>AND(ISNUMBER($X3),ISNUMBER($W3),$X3&lt;&gt;$W3,IFERROR($X3/$W3-1,0)&gt;=0.75)</formula>
    </cfRule>
    <cfRule type="expression" priority="23" dxfId="4" stopIfTrue="1">
      <formula>AND(ISNUMBER($X3),ISNUMBER($W3),$X3&lt;&gt;$W3,IFERROR($X3/$W3-1,0)&gt;=0.5)</formula>
    </cfRule>
    <cfRule type="expression" priority="24" dxfId="5" stopIfTrue="1">
      <formula>AND(ISNUMBER($X3),ISNUMBER($W3),$X3&lt;&gt;$W3,IFERROR($X3/$W3-1,0)&gt;=0.35)</formula>
    </cfRule>
    <cfRule type="expression" priority="25" dxfId="6" stopIfTrue="1">
      <formula>AND(ISNUMBER($X3),ISNUMBER($W3),$X3&lt;&gt;$W3,IFERROR($X3/$W3-1,0)&gt;=0.2)</formula>
    </cfRule>
    <cfRule type="expression" priority="26" dxfId="7" stopIfTrue="1">
      <formula>AND(ISNUMBER($X3),ISNUMBER($W3),$X3&lt;&gt;$W3,IFERROR($X3/$W3-1,0)&gt;=0.1)</formula>
    </cfRule>
    <cfRule type="expression" priority="27" dxfId="8" stopIfTrue="1">
      <formula>AND(ISNUMBER($X3),ISNUMBER($W3),$X3&lt;&gt;$W3,IFERROR($X3/$W3-1,0)&gt;=0.02)</formula>
    </cfRule>
    <cfRule type="expression" priority="28" dxfId="9" stopIfTrue="1">
      <formula>AND(ISNUMBER($X3),ISNUMBER($W3),$X3&lt;&gt;$W3,IFERROR($W3/$X3-1,0)&gt;=2.5)</formula>
    </cfRule>
    <cfRule type="expression" priority="29" dxfId="10" stopIfTrue="1">
      <formula>AND(ISNUMBER($X3),ISNUMBER($W3),$X3&lt;&gt;$W3,IFERROR($W3/$X3-1,0)&gt;=1.5)</formula>
    </cfRule>
    <cfRule type="expression" priority="30" dxfId="11" stopIfTrue="1">
      <formula>AND(ISNUMBER($X3),ISNUMBER($W3),$X3&lt;&gt;$W3,IFERROR($W3/$X3-1,0)&gt;=1.0)</formula>
    </cfRule>
    <cfRule type="expression" priority="31" dxfId="12" stopIfTrue="1">
      <formula>AND(ISNUMBER($X3),ISNUMBER($W3),$X3&lt;&gt;$W3,IFERROR($W3/$X3-1,0)&gt;=0.75)</formula>
    </cfRule>
    <cfRule type="expression" priority="32" dxfId="13" stopIfTrue="1">
      <formula>AND(ISNUMBER($X3),ISNUMBER($W3),$X3&lt;&gt;$W3,IFERROR($W3/$X3-1,0)&gt;=0.5)</formula>
    </cfRule>
    <cfRule type="expression" priority="33" dxfId="14" stopIfTrue="1">
      <formula>AND(ISNUMBER($X3),ISNUMBER($W3),$X3&lt;&gt;$W3,IFERROR($W3/$X3-1,0)&gt;=0.35)</formula>
    </cfRule>
    <cfRule type="expression" priority="34" dxfId="15" stopIfTrue="1">
      <formula>AND(ISNUMBER($X3),ISNUMBER($W3),$X3&lt;&gt;$W3,IFERROR($W3/$X3-1,0)&gt;=0.2)</formula>
    </cfRule>
    <cfRule type="expression" priority="35" dxfId="16" stopIfTrue="1">
      <formula>AND(ISNUMBER($X3),ISNUMBER($W3),$X3&lt;&gt;$W3,IFERROR($W3/$X3-1,0)&gt;=0.1)</formula>
    </cfRule>
    <cfRule type="expression" priority="36" dxfId="17" stopIfTrue="1">
      <formula>AND(ISNUMBER($X3),ISNUMBER($W3),$X3&lt;&gt;$W3,IFERROR($W3/$X3-1,0)&gt;=0.02)</formula>
    </cfRule>
  </conditionalFormatting>
  <conditionalFormatting sqref="P3:P236">
    <cfRule type="expression" priority="37" dxfId="0" stopIfTrue="1">
      <formula>AND(ISNUMBER(P3),ISNUMBER($K3),P3&lt;&gt;$K3,IFERROR($K3/P3-1,0)&gt;=2.5)</formula>
    </cfRule>
    <cfRule type="expression" priority="38" dxfId="1" stopIfTrue="1">
      <formula>AND(ISNUMBER(P3),ISNUMBER($K3),P3&lt;&gt;$K3,IFERROR($K3/P3-1,0)&gt;=1.5)</formula>
    </cfRule>
    <cfRule type="expression" priority="39" dxfId="2" stopIfTrue="1">
      <formula>AND(ISNUMBER(P3),ISNUMBER($K3),P3&lt;&gt;$K3,IFERROR($K3/P3-1,0)&gt;=1.0)</formula>
    </cfRule>
    <cfRule type="expression" priority="40" dxfId="3" stopIfTrue="1">
      <formula>AND(ISNUMBER(P3),ISNUMBER($K3),P3&lt;&gt;$K3,IFERROR($K3/P3-1,0)&gt;=0.75)</formula>
    </cfRule>
    <cfRule type="expression" priority="41" dxfId="4" stopIfTrue="1">
      <formula>AND(ISNUMBER(P3),ISNUMBER($K3),P3&lt;&gt;$K3,IFERROR($K3/P3-1,0)&gt;=0.5)</formula>
    </cfRule>
    <cfRule type="expression" priority="42" dxfId="5" stopIfTrue="1">
      <formula>AND(ISNUMBER(P3),ISNUMBER($K3),P3&lt;&gt;$K3,IFERROR($K3/P3-1,0)&gt;=0.35)</formula>
    </cfRule>
    <cfRule type="expression" priority="43" dxfId="6" stopIfTrue="1">
      <formula>AND(ISNUMBER(P3),ISNUMBER($K3),P3&lt;&gt;$K3,IFERROR($K3/P3-1,0)&gt;=0.2)</formula>
    </cfRule>
    <cfRule type="expression" priority="44" dxfId="7" stopIfTrue="1">
      <formula>AND(ISNUMBER(P3),ISNUMBER($K3),P3&lt;&gt;$K3,IFERROR($K3/P3-1,0)&gt;=0.1)</formula>
    </cfRule>
    <cfRule type="expression" priority="45" dxfId="8" stopIfTrue="1">
      <formula>AND(ISNUMBER(P3),ISNUMBER($K3),P3&lt;&gt;$K3,IFERROR($K3/P3-1,0)&gt;=0.02)</formula>
    </cfRule>
    <cfRule type="expression" priority="46" dxfId="9" stopIfTrue="1">
      <formula>AND(ISNUMBER(P3),ISNUMBER($K3),P3&lt;&gt;$K3,IFERROR(P3/$K3-1,0)&gt;=2.5)</formula>
    </cfRule>
    <cfRule type="expression" priority="47" dxfId="10" stopIfTrue="1">
      <formula>AND(ISNUMBER(P3),ISNUMBER($K3),P3&lt;&gt;$K3,IFERROR(P3/$K3-1,0)&gt;=1.5)</formula>
    </cfRule>
    <cfRule type="expression" priority="48" dxfId="11" stopIfTrue="1">
      <formula>AND(ISNUMBER(P3),ISNUMBER($K3),P3&lt;&gt;$K3,IFERROR(P3/$K3-1,0)&gt;=1.0)</formula>
    </cfRule>
    <cfRule type="expression" priority="49" dxfId="12" stopIfTrue="1">
      <formula>AND(ISNUMBER(P3),ISNUMBER($K3),P3&lt;&gt;$K3,IFERROR(P3/$K3-1,0)&gt;=0.75)</formula>
    </cfRule>
    <cfRule type="expression" priority="50" dxfId="13" stopIfTrue="1">
      <formula>AND(ISNUMBER(P3),ISNUMBER($K3),P3&lt;&gt;$K3,IFERROR(P3/$K3-1,0)&gt;=0.5)</formula>
    </cfRule>
    <cfRule type="expression" priority="51" dxfId="14" stopIfTrue="1">
      <formula>AND(ISNUMBER(P3),ISNUMBER($K3),P3&lt;&gt;$K3,IFERROR(P3/$K3-1,0)&gt;=0.35)</formula>
    </cfRule>
    <cfRule type="expression" priority="52" dxfId="15" stopIfTrue="1">
      <formula>AND(ISNUMBER(P3),ISNUMBER($K3),P3&lt;&gt;$K3,IFERROR(P3/$K3-1,0)&gt;=0.2)</formula>
    </cfRule>
    <cfRule type="expression" priority="53" dxfId="16" stopIfTrue="1">
      <formula>AND(ISNUMBER(P3),ISNUMBER($K3),P3&lt;&gt;$K3,IFERROR(P3/$K3-1,0)&gt;=0.1)</formula>
    </cfRule>
    <cfRule type="expression" priority="54" dxfId="17" stopIfTrue="1">
      <formula>AND(ISNUMBER(P3),ISNUMBER($K3),P3&lt;&gt;$K3,IFERROR(P3/$K3-1,0)&gt;=0.02)</formula>
    </cfRule>
  </conditionalFormatting>
  <conditionalFormatting sqref="Q3:Q236">
    <cfRule type="expression" priority="55" dxfId="0" stopIfTrue="1">
      <formula>AND(ISNUMBER(Q3),ISNUMBER($L3),Q3&lt;&gt;$L3,IFERROR($L3/Q3-1,0)&gt;=2.5)</formula>
    </cfRule>
    <cfRule type="expression" priority="56" dxfId="1" stopIfTrue="1">
      <formula>AND(ISNUMBER(Q3),ISNUMBER($L3),Q3&lt;&gt;$L3,IFERROR($L3/Q3-1,0)&gt;=1.5)</formula>
    </cfRule>
    <cfRule type="expression" priority="57" dxfId="2" stopIfTrue="1">
      <formula>AND(ISNUMBER(Q3),ISNUMBER($L3),Q3&lt;&gt;$L3,IFERROR($L3/Q3-1,0)&gt;=1.0)</formula>
    </cfRule>
    <cfRule type="expression" priority="58" dxfId="3" stopIfTrue="1">
      <formula>AND(ISNUMBER(Q3),ISNUMBER($L3),Q3&lt;&gt;$L3,IFERROR($L3/Q3-1,0)&gt;=0.75)</formula>
    </cfRule>
    <cfRule type="expression" priority="59" dxfId="4" stopIfTrue="1">
      <formula>AND(ISNUMBER(Q3),ISNUMBER($L3),Q3&lt;&gt;$L3,IFERROR($L3/Q3-1,0)&gt;=0.5)</formula>
    </cfRule>
    <cfRule type="expression" priority="60" dxfId="5" stopIfTrue="1">
      <formula>AND(ISNUMBER(Q3),ISNUMBER($L3),Q3&lt;&gt;$L3,IFERROR($L3/Q3-1,0)&gt;=0.35)</formula>
    </cfRule>
    <cfRule type="expression" priority="61" dxfId="6" stopIfTrue="1">
      <formula>AND(ISNUMBER(Q3),ISNUMBER($L3),Q3&lt;&gt;$L3,IFERROR($L3/Q3-1,0)&gt;=0.2)</formula>
    </cfRule>
    <cfRule type="expression" priority="62" dxfId="7" stopIfTrue="1">
      <formula>AND(ISNUMBER(Q3),ISNUMBER($L3),Q3&lt;&gt;$L3,IFERROR($L3/Q3-1,0)&gt;=0.1)</formula>
    </cfRule>
    <cfRule type="expression" priority="63" dxfId="8" stopIfTrue="1">
      <formula>AND(ISNUMBER(Q3),ISNUMBER($L3),Q3&lt;&gt;$L3,IFERROR($L3/Q3-1,0)&gt;=0.02)</formula>
    </cfRule>
    <cfRule type="expression" priority="64" dxfId="9" stopIfTrue="1">
      <formula>AND(ISNUMBER(Q3),ISNUMBER($L3),Q3&lt;&gt;$L3,IFERROR(Q3/$L3-1,0)&gt;=2.5)</formula>
    </cfRule>
    <cfRule type="expression" priority="65" dxfId="10" stopIfTrue="1">
      <formula>AND(ISNUMBER(Q3),ISNUMBER($L3),Q3&lt;&gt;$L3,IFERROR(Q3/$L3-1,0)&gt;=1.5)</formula>
    </cfRule>
    <cfRule type="expression" priority="66" dxfId="11" stopIfTrue="1">
      <formula>AND(ISNUMBER(Q3),ISNUMBER($L3),Q3&lt;&gt;$L3,IFERROR(Q3/$L3-1,0)&gt;=1.0)</formula>
    </cfRule>
    <cfRule type="expression" priority="67" dxfId="12" stopIfTrue="1">
      <formula>AND(ISNUMBER(Q3),ISNUMBER($L3),Q3&lt;&gt;$L3,IFERROR(Q3/$L3-1,0)&gt;=0.75)</formula>
    </cfRule>
    <cfRule type="expression" priority="68" dxfId="13" stopIfTrue="1">
      <formula>AND(ISNUMBER(Q3),ISNUMBER($L3),Q3&lt;&gt;$L3,IFERROR(Q3/$L3-1,0)&gt;=0.5)</formula>
    </cfRule>
    <cfRule type="expression" priority="69" dxfId="14" stopIfTrue="1">
      <formula>AND(ISNUMBER(Q3),ISNUMBER($L3),Q3&lt;&gt;$L3,IFERROR(Q3/$L3-1,0)&gt;=0.35)</formula>
    </cfRule>
    <cfRule type="expression" priority="70" dxfId="15" stopIfTrue="1">
      <formula>AND(ISNUMBER(Q3),ISNUMBER($L3),Q3&lt;&gt;$L3,IFERROR(Q3/$L3-1,0)&gt;=0.2)</formula>
    </cfRule>
    <cfRule type="expression" priority="71" dxfId="16" stopIfTrue="1">
      <formula>AND(ISNUMBER(Q3),ISNUMBER($L3),Q3&lt;&gt;$L3,IFERROR(Q3/$L3-1,0)&gt;=0.1)</formula>
    </cfRule>
    <cfRule type="expression" priority="72" dxfId="17" stopIfTrue="1">
      <formula>AND(ISNUMBER(Q3),ISNUMBER($L3),Q3&lt;&gt;$L3,IFERROR(Q3/$L3-1,0)&gt;=0.02)</formula>
    </cfRule>
  </conditionalFormatting>
  <conditionalFormatting sqref="R3:R236">
    <cfRule type="expression" priority="73" dxfId="0" stopIfTrue="1">
      <formula>AND(ISNUMBER(R3),ISNUMBER($M3),R3&lt;&gt;$M3,IFERROR(R3/$M3-1,0)&gt;=2.5)</formula>
    </cfRule>
    <cfRule type="expression" priority="74" dxfId="1" stopIfTrue="1">
      <formula>AND(ISNUMBER(R3),ISNUMBER($M3),R3&lt;&gt;$M3,IFERROR(R3/$M3-1,0)&gt;=1.5)</formula>
    </cfRule>
    <cfRule type="expression" priority="75" dxfId="2" stopIfTrue="1">
      <formula>AND(ISNUMBER(R3),ISNUMBER($M3),R3&lt;&gt;$M3,IFERROR(R3/$M3-1,0)&gt;=1.0)</formula>
    </cfRule>
    <cfRule type="expression" priority="76" dxfId="3" stopIfTrue="1">
      <formula>AND(ISNUMBER(R3),ISNUMBER($M3),R3&lt;&gt;$M3,IFERROR(R3/$M3-1,0)&gt;=0.75)</formula>
    </cfRule>
    <cfRule type="expression" priority="77" dxfId="4" stopIfTrue="1">
      <formula>AND(ISNUMBER(R3),ISNUMBER($M3),R3&lt;&gt;$M3,IFERROR(R3/$M3-1,0)&gt;=0.5)</formula>
    </cfRule>
    <cfRule type="expression" priority="78" dxfId="5" stopIfTrue="1">
      <formula>AND(ISNUMBER(R3),ISNUMBER($M3),R3&lt;&gt;$M3,IFERROR(R3/$M3-1,0)&gt;=0.35)</formula>
    </cfRule>
    <cfRule type="expression" priority="79" dxfId="6" stopIfTrue="1">
      <formula>AND(ISNUMBER(R3),ISNUMBER($M3),R3&lt;&gt;$M3,IFERROR(R3/$M3-1,0)&gt;=0.2)</formula>
    </cfRule>
    <cfRule type="expression" priority="80" dxfId="7" stopIfTrue="1">
      <formula>AND(ISNUMBER(R3),ISNUMBER($M3),R3&lt;&gt;$M3,IFERROR(R3/$M3-1,0)&gt;=0.1)</formula>
    </cfRule>
    <cfRule type="expression" priority="81" dxfId="8" stopIfTrue="1">
      <formula>AND(ISNUMBER(R3),ISNUMBER($M3),R3&lt;&gt;$M3,IFERROR(R3/$M3-1,0)&gt;=0.02)</formula>
    </cfRule>
    <cfRule type="expression" priority="82" dxfId="9" stopIfTrue="1">
      <formula>AND(ISNUMBER(R3),ISNUMBER($M3),R3&lt;&gt;$M3,IFERROR($M3/R3-1,0)&gt;=2.5)</formula>
    </cfRule>
    <cfRule type="expression" priority="83" dxfId="10" stopIfTrue="1">
      <formula>AND(ISNUMBER(R3),ISNUMBER($M3),R3&lt;&gt;$M3,IFERROR($M3/R3-1,0)&gt;=1.5)</formula>
    </cfRule>
    <cfRule type="expression" priority="84" dxfId="11" stopIfTrue="1">
      <formula>AND(ISNUMBER(R3),ISNUMBER($M3),R3&lt;&gt;$M3,IFERROR($M3/R3-1,0)&gt;=1.0)</formula>
    </cfRule>
    <cfRule type="expression" priority="85" dxfId="12" stopIfTrue="1">
      <formula>AND(ISNUMBER(R3),ISNUMBER($M3),R3&lt;&gt;$M3,IFERROR($M3/R3-1,0)&gt;=0.75)</formula>
    </cfRule>
    <cfRule type="expression" priority="86" dxfId="13" stopIfTrue="1">
      <formula>AND(ISNUMBER(R3),ISNUMBER($M3),R3&lt;&gt;$M3,IFERROR($M3/R3-1,0)&gt;=0.5)</formula>
    </cfRule>
    <cfRule type="expression" priority="87" dxfId="14" stopIfTrue="1">
      <formula>AND(ISNUMBER(R3),ISNUMBER($M3),R3&lt;&gt;$M3,IFERROR($M3/R3-1,0)&gt;=0.35)</formula>
    </cfRule>
    <cfRule type="expression" priority="88" dxfId="15" stopIfTrue="1">
      <formula>AND(ISNUMBER(R3),ISNUMBER($M3),R3&lt;&gt;$M3,IFERROR($M3/R3-1,0)&gt;=0.2)</formula>
    </cfRule>
    <cfRule type="expression" priority="89" dxfId="16" stopIfTrue="1">
      <formula>AND(ISNUMBER(R3),ISNUMBER($M3),R3&lt;&gt;$M3,IFERROR($M3/R3-1,0)&gt;=0.1)</formula>
    </cfRule>
    <cfRule type="expression" priority="90" dxfId="17" stopIfTrue="1">
      <formula>AND(ISNUMBER(R3),ISNUMBER($M3),R3&lt;&gt;$M3,IFERROR($M3/R3-1,0)&gt;=0.02)</formula>
    </cfRule>
  </conditionalFormatting>
  <conditionalFormatting sqref="S3:S236">
    <cfRule type="expression" priority="91" dxfId="0" stopIfTrue="1">
      <formula>AND(ISNUMBER(S3),ISNUMBER($N3),S3&lt;&gt;$N3,IFERROR(S3/$N3-1,0)&gt;=2.5)</formula>
    </cfRule>
    <cfRule type="expression" priority="92" dxfId="1" stopIfTrue="1">
      <formula>AND(ISNUMBER(S3),ISNUMBER($N3),S3&lt;&gt;$N3,IFERROR(S3/$N3-1,0)&gt;=1.5)</formula>
    </cfRule>
    <cfRule type="expression" priority="93" dxfId="2" stopIfTrue="1">
      <formula>AND(ISNUMBER(S3),ISNUMBER($N3),S3&lt;&gt;$N3,IFERROR(S3/$N3-1,0)&gt;=1.0)</formula>
    </cfRule>
    <cfRule type="expression" priority="94" dxfId="3" stopIfTrue="1">
      <formula>AND(ISNUMBER(S3),ISNUMBER($N3),S3&lt;&gt;$N3,IFERROR(S3/$N3-1,0)&gt;=0.75)</formula>
    </cfRule>
    <cfRule type="expression" priority="95" dxfId="4" stopIfTrue="1">
      <formula>AND(ISNUMBER(S3),ISNUMBER($N3),S3&lt;&gt;$N3,IFERROR(S3/$N3-1,0)&gt;=0.5)</formula>
    </cfRule>
    <cfRule type="expression" priority="96" dxfId="5" stopIfTrue="1">
      <formula>AND(ISNUMBER(S3),ISNUMBER($N3),S3&lt;&gt;$N3,IFERROR(S3/$N3-1,0)&gt;=0.35)</formula>
    </cfRule>
    <cfRule type="expression" priority="97" dxfId="6" stopIfTrue="1">
      <formula>AND(ISNUMBER(S3),ISNUMBER($N3),S3&lt;&gt;$N3,IFERROR(S3/$N3-1,0)&gt;=0.2)</formula>
    </cfRule>
    <cfRule type="expression" priority="98" dxfId="7" stopIfTrue="1">
      <formula>AND(ISNUMBER(S3),ISNUMBER($N3),S3&lt;&gt;$N3,IFERROR(S3/$N3-1,0)&gt;=0.1)</formula>
    </cfRule>
    <cfRule type="expression" priority="99" dxfId="8" stopIfTrue="1">
      <formula>AND(ISNUMBER(S3),ISNUMBER($N3),S3&lt;&gt;$N3,IFERROR(S3/$N3-1,0)&gt;=0.02)</formula>
    </cfRule>
    <cfRule type="expression" priority="100" dxfId="9" stopIfTrue="1">
      <formula>AND(ISNUMBER(S3),ISNUMBER($N3),S3&lt;&gt;$N3,IFERROR($N3/S3-1,0)&gt;=2.5)</formula>
    </cfRule>
    <cfRule type="expression" priority="101" dxfId="10" stopIfTrue="1">
      <formula>AND(ISNUMBER(S3),ISNUMBER($N3),S3&lt;&gt;$N3,IFERROR($N3/S3-1,0)&gt;=1.5)</formula>
    </cfRule>
    <cfRule type="expression" priority="102" dxfId="11" stopIfTrue="1">
      <formula>AND(ISNUMBER(S3),ISNUMBER($N3),S3&lt;&gt;$N3,IFERROR($N3/S3-1,0)&gt;=1.0)</formula>
    </cfRule>
    <cfRule type="expression" priority="103" dxfId="12" stopIfTrue="1">
      <formula>AND(ISNUMBER(S3),ISNUMBER($N3),S3&lt;&gt;$N3,IFERROR($N3/S3-1,0)&gt;=0.75)</formula>
    </cfRule>
    <cfRule type="expression" priority="104" dxfId="13" stopIfTrue="1">
      <formula>AND(ISNUMBER(S3),ISNUMBER($N3),S3&lt;&gt;$N3,IFERROR($N3/S3-1,0)&gt;=0.5)</formula>
    </cfRule>
    <cfRule type="expression" priority="105" dxfId="14" stopIfTrue="1">
      <formula>AND(ISNUMBER(S3),ISNUMBER($N3),S3&lt;&gt;$N3,IFERROR($N3/S3-1,0)&gt;=0.35)</formula>
    </cfRule>
    <cfRule type="expression" priority="106" dxfId="15" stopIfTrue="1">
      <formula>AND(ISNUMBER(S3),ISNUMBER($N3),S3&lt;&gt;$N3,IFERROR($N3/S3-1,0)&gt;=0.2)</formula>
    </cfRule>
    <cfRule type="expression" priority="107" dxfId="16" stopIfTrue="1">
      <formula>AND(ISNUMBER(S3),ISNUMBER($N3),S3&lt;&gt;$N3,IFERROR($N3/S3-1,0)&gt;=0.1)</formula>
    </cfRule>
    <cfRule type="expression" priority="108" dxfId="17" stopIfTrue="1">
      <formula>AND(ISNUMBER(S3),ISNUMBER($N3),S3&lt;&gt;$N3,IFERROR($N3/S3-1,0)&gt;=0.02)</formula>
    </cfRule>
  </conditionalFormatting>
  <conditionalFormatting sqref="T3:T236">
    <cfRule type="expression" priority="109" dxfId="0" stopIfTrue="1">
      <formula>AND(ISNUMBER(T3),ISNUMBER($O3),T3&lt;&gt;$O3,IFERROR(T3/$O3-1,0)&gt;=2.5)</formula>
    </cfRule>
    <cfRule type="expression" priority="110" dxfId="1" stopIfTrue="1">
      <formula>AND(ISNUMBER(T3),ISNUMBER($O3),T3&lt;&gt;$O3,IFERROR(T3/$O3-1,0)&gt;=1.5)</formula>
    </cfRule>
    <cfRule type="expression" priority="111" dxfId="2" stopIfTrue="1">
      <formula>AND(ISNUMBER(T3),ISNUMBER($O3),T3&lt;&gt;$O3,IFERROR(T3/$O3-1,0)&gt;=1.0)</formula>
    </cfRule>
    <cfRule type="expression" priority="112" dxfId="3" stopIfTrue="1">
      <formula>AND(ISNUMBER(T3),ISNUMBER($O3),T3&lt;&gt;$O3,IFERROR(T3/$O3-1,0)&gt;=0.75)</formula>
    </cfRule>
    <cfRule type="expression" priority="113" dxfId="4" stopIfTrue="1">
      <formula>AND(ISNUMBER(T3),ISNUMBER($O3),T3&lt;&gt;$O3,IFERROR(T3/$O3-1,0)&gt;=0.5)</formula>
    </cfRule>
    <cfRule type="expression" priority="114" dxfId="5" stopIfTrue="1">
      <formula>AND(ISNUMBER(T3),ISNUMBER($O3),T3&lt;&gt;$O3,IFERROR(T3/$O3-1,0)&gt;=0.35)</formula>
    </cfRule>
    <cfRule type="expression" priority="115" dxfId="6" stopIfTrue="1">
      <formula>AND(ISNUMBER(T3),ISNUMBER($O3),T3&lt;&gt;$O3,IFERROR(T3/$O3-1,0)&gt;=0.2)</formula>
    </cfRule>
    <cfRule type="expression" priority="116" dxfId="7" stopIfTrue="1">
      <formula>AND(ISNUMBER(T3),ISNUMBER($O3),T3&lt;&gt;$O3,IFERROR(T3/$O3-1,0)&gt;=0.1)</formula>
    </cfRule>
    <cfRule type="expression" priority="117" dxfId="8" stopIfTrue="1">
      <formula>AND(ISNUMBER(T3),ISNUMBER($O3),T3&lt;&gt;$O3,IFERROR(T3/$O3-1,0)&gt;=0.02)</formula>
    </cfRule>
    <cfRule type="expression" priority="118" dxfId="9" stopIfTrue="1">
      <formula>AND(ISNUMBER(T3),ISNUMBER($O3),T3&lt;&gt;$O3,IFERROR($O3/T3-1,0)&gt;=2.5)</formula>
    </cfRule>
    <cfRule type="expression" priority="119" dxfId="10" stopIfTrue="1">
      <formula>AND(ISNUMBER(T3),ISNUMBER($O3),T3&lt;&gt;$O3,IFERROR($O3/T3-1,0)&gt;=1.5)</formula>
    </cfRule>
    <cfRule type="expression" priority="120" dxfId="11" stopIfTrue="1">
      <formula>AND(ISNUMBER(T3),ISNUMBER($O3),T3&lt;&gt;$O3,IFERROR($O3/T3-1,0)&gt;=1.0)</formula>
    </cfRule>
    <cfRule type="expression" priority="121" dxfId="12" stopIfTrue="1">
      <formula>AND(ISNUMBER(T3),ISNUMBER($O3),T3&lt;&gt;$O3,IFERROR($O3/T3-1,0)&gt;=0.75)</formula>
    </cfRule>
    <cfRule type="expression" priority="122" dxfId="13" stopIfTrue="1">
      <formula>AND(ISNUMBER(T3),ISNUMBER($O3),T3&lt;&gt;$O3,IFERROR($O3/T3-1,0)&gt;=0.5)</formula>
    </cfRule>
    <cfRule type="expression" priority="123" dxfId="14" stopIfTrue="1">
      <formula>AND(ISNUMBER(T3),ISNUMBER($O3),T3&lt;&gt;$O3,IFERROR($O3/T3-1,0)&gt;=0.35)</formula>
    </cfRule>
    <cfRule type="expression" priority="124" dxfId="15" stopIfTrue="1">
      <formula>AND(ISNUMBER(T3),ISNUMBER($O3),T3&lt;&gt;$O3,IFERROR($O3/T3-1,0)&gt;=0.2)</formula>
    </cfRule>
    <cfRule type="expression" priority="125" dxfId="16" stopIfTrue="1">
      <formula>AND(ISNUMBER(T3),ISNUMBER($O3),T3&lt;&gt;$O3,IFERROR($O3/T3-1,0)&gt;=0.1)</formula>
    </cfRule>
    <cfRule type="expression" priority="126" dxfId="17" stopIfTrue="1">
      <formula>AND(ISNUMBER(T3),ISNUMBER($O3),T3&lt;&gt;$O3,IFERROR($O3/T3-1,0)&gt;=0.02)</formula>
    </cfRule>
  </conditionalFormatting>
  <conditionalFormatting sqref="V3:V236">
    <cfRule type="expression" priority="127" dxfId="0" stopIfTrue="1">
      <formula>AND(ISNUMBER(V3),ISNUMBER($U3),V3&lt;&gt;$U3,IFERROR(V3/$U3-1,0)&gt;=2.5)</formula>
    </cfRule>
    <cfRule type="expression" priority="128" dxfId="1" stopIfTrue="1">
      <formula>AND(ISNUMBER(V3),ISNUMBER($U3),V3&lt;&gt;$U3,IFERROR(V3/$U3-1,0)&gt;=1.5)</formula>
    </cfRule>
    <cfRule type="expression" priority="129" dxfId="2" stopIfTrue="1">
      <formula>AND(ISNUMBER(V3),ISNUMBER($U3),V3&lt;&gt;$U3,IFERROR(V3/$U3-1,0)&gt;=1.0)</formula>
    </cfRule>
    <cfRule type="expression" priority="130" dxfId="3" stopIfTrue="1">
      <formula>AND(ISNUMBER(V3),ISNUMBER($U3),V3&lt;&gt;$U3,IFERROR(V3/$U3-1,0)&gt;=0.75)</formula>
    </cfRule>
    <cfRule type="expression" priority="131" dxfId="4" stopIfTrue="1">
      <formula>AND(ISNUMBER(V3),ISNUMBER($U3),V3&lt;&gt;$U3,IFERROR(V3/$U3-1,0)&gt;=0.5)</formula>
    </cfRule>
    <cfRule type="expression" priority="132" dxfId="5" stopIfTrue="1">
      <formula>AND(ISNUMBER(V3),ISNUMBER($U3),V3&lt;&gt;$U3,IFERROR(V3/$U3-1,0)&gt;=0.35)</formula>
    </cfRule>
    <cfRule type="expression" priority="133" dxfId="6" stopIfTrue="1">
      <formula>AND(ISNUMBER(V3),ISNUMBER($U3),V3&lt;&gt;$U3,IFERROR(V3/$U3-1,0)&gt;=0.2)</formula>
    </cfRule>
    <cfRule type="expression" priority="134" dxfId="7" stopIfTrue="1">
      <formula>AND(ISNUMBER(V3),ISNUMBER($U3),V3&lt;&gt;$U3,IFERROR(V3/$U3-1,0)&gt;=0.1)</formula>
    </cfRule>
    <cfRule type="expression" priority="135" dxfId="8" stopIfTrue="1">
      <formula>AND(ISNUMBER(V3),ISNUMBER($U3),V3&lt;&gt;$U3,IFERROR(V3/$U3-1,0)&gt;=0.02)</formula>
    </cfRule>
    <cfRule type="expression" priority="136" dxfId="9" stopIfTrue="1">
      <formula>AND(ISNUMBER(V3),ISNUMBER($U3),V3&lt;&gt;$U3,IFERROR($U3/V3-1,0)&gt;=2.5)</formula>
    </cfRule>
    <cfRule type="expression" priority="137" dxfId="10" stopIfTrue="1">
      <formula>AND(ISNUMBER(V3),ISNUMBER($U3),V3&lt;&gt;$U3,IFERROR($U3/V3-1,0)&gt;=1.5)</formula>
    </cfRule>
    <cfRule type="expression" priority="138" dxfId="11" stopIfTrue="1">
      <formula>AND(ISNUMBER(V3),ISNUMBER($U3),V3&lt;&gt;$U3,IFERROR($U3/V3-1,0)&gt;=1.0)</formula>
    </cfRule>
    <cfRule type="expression" priority="139" dxfId="12" stopIfTrue="1">
      <formula>AND(ISNUMBER(V3),ISNUMBER($U3),V3&lt;&gt;$U3,IFERROR($U3/V3-1,0)&gt;=0.75)</formula>
    </cfRule>
    <cfRule type="expression" priority="140" dxfId="13" stopIfTrue="1">
      <formula>AND(ISNUMBER(V3),ISNUMBER($U3),V3&lt;&gt;$U3,IFERROR($U3/V3-1,0)&gt;=0.5)</formula>
    </cfRule>
    <cfRule type="expression" priority="141" dxfId="14" stopIfTrue="1">
      <formula>AND(ISNUMBER(V3),ISNUMBER($U3),V3&lt;&gt;$U3,IFERROR($U3/V3-1,0)&gt;=0.35)</formula>
    </cfRule>
    <cfRule type="expression" priority="142" dxfId="15" stopIfTrue="1">
      <formula>AND(ISNUMBER(V3),ISNUMBER($U3),V3&lt;&gt;$U3,IFERROR($U3/V3-1,0)&gt;=0.2)</formula>
    </cfRule>
    <cfRule type="expression" priority="143" dxfId="16" stopIfTrue="1">
      <formula>AND(ISNUMBER(V3),ISNUMBER($U3),V3&lt;&gt;$U3,IFERROR($U3/V3-1,0)&gt;=0.1)</formula>
    </cfRule>
    <cfRule type="expression" priority="144" dxfId="17" stopIfTrue="1">
      <formula>AND(ISNUMBER(V3),ISNUMBER($U3),V3&lt;&gt;$U3,IFERROR($U3/V3-1,0)&gt;=0.02)</formula>
    </cfRule>
  </conditionalFormatting>
  <conditionalFormatting sqref="X3:X236">
    <cfRule type="expression" priority="145" dxfId="0" stopIfTrue="1">
      <formula>AND(ISNUMBER(X3),ISNUMBER($W3),X3&lt;&gt;$W3,IFERROR(X3/$W3-1,0)&gt;=2.5)</formula>
    </cfRule>
    <cfRule type="expression" priority="146" dxfId="1" stopIfTrue="1">
      <formula>AND(ISNUMBER(X3),ISNUMBER($W3),X3&lt;&gt;$W3,IFERROR(X3/$W3-1,0)&gt;=1.5)</formula>
    </cfRule>
    <cfRule type="expression" priority="147" dxfId="2" stopIfTrue="1">
      <formula>AND(ISNUMBER(X3),ISNUMBER($W3),X3&lt;&gt;$W3,IFERROR(X3/$W3-1,0)&gt;=1.0)</formula>
    </cfRule>
    <cfRule type="expression" priority="148" dxfId="3" stopIfTrue="1">
      <formula>AND(ISNUMBER(X3),ISNUMBER($W3),X3&lt;&gt;$W3,IFERROR(X3/$W3-1,0)&gt;=0.75)</formula>
    </cfRule>
    <cfRule type="expression" priority="149" dxfId="4" stopIfTrue="1">
      <formula>AND(ISNUMBER(X3),ISNUMBER($W3),X3&lt;&gt;$W3,IFERROR(X3/$W3-1,0)&gt;=0.5)</formula>
    </cfRule>
    <cfRule type="expression" priority="150" dxfId="5" stopIfTrue="1">
      <formula>AND(ISNUMBER(X3),ISNUMBER($W3),X3&lt;&gt;$W3,IFERROR(X3/$W3-1,0)&gt;=0.35)</formula>
    </cfRule>
    <cfRule type="expression" priority="151" dxfId="6" stopIfTrue="1">
      <formula>AND(ISNUMBER(X3),ISNUMBER($W3),X3&lt;&gt;$W3,IFERROR(X3/$W3-1,0)&gt;=0.2)</formula>
    </cfRule>
    <cfRule type="expression" priority="152" dxfId="7" stopIfTrue="1">
      <formula>AND(ISNUMBER(X3),ISNUMBER($W3),X3&lt;&gt;$W3,IFERROR(X3/$W3-1,0)&gt;=0.1)</formula>
    </cfRule>
    <cfRule type="expression" priority="153" dxfId="8" stopIfTrue="1">
      <formula>AND(ISNUMBER(X3),ISNUMBER($W3),X3&lt;&gt;$W3,IFERROR(X3/$W3-1,0)&gt;=0.02)</formula>
    </cfRule>
    <cfRule type="expression" priority="154" dxfId="9" stopIfTrue="1">
      <formula>AND(ISNUMBER(X3),ISNUMBER($W3),X3&lt;&gt;$W3,IFERROR($W3/X3-1,0)&gt;=2.5)</formula>
    </cfRule>
    <cfRule type="expression" priority="155" dxfId="10" stopIfTrue="1">
      <formula>AND(ISNUMBER(X3),ISNUMBER($W3),X3&lt;&gt;$W3,IFERROR($W3/X3-1,0)&gt;=1.5)</formula>
    </cfRule>
    <cfRule type="expression" priority="156" dxfId="11" stopIfTrue="1">
      <formula>AND(ISNUMBER(X3),ISNUMBER($W3),X3&lt;&gt;$W3,IFERROR($W3/X3-1,0)&gt;=1.0)</formula>
    </cfRule>
    <cfRule type="expression" priority="157" dxfId="12" stopIfTrue="1">
      <formula>AND(ISNUMBER(X3),ISNUMBER($W3),X3&lt;&gt;$W3,IFERROR($W3/X3-1,0)&gt;=0.75)</formula>
    </cfRule>
    <cfRule type="expression" priority="158" dxfId="13" stopIfTrue="1">
      <formula>AND(ISNUMBER(X3),ISNUMBER($W3),X3&lt;&gt;$W3,IFERROR($W3/X3-1,0)&gt;=0.5)</formula>
    </cfRule>
    <cfRule type="expression" priority="159" dxfId="14" stopIfTrue="1">
      <formula>AND(ISNUMBER(X3),ISNUMBER($W3),X3&lt;&gt;$W3,IFERROR($W3/X3-1,0)&gt;=0.35)</formula>
    </cfRule>
    <cfRule type="expression" priority="160" dxfId="15" stopIfTrue="1">
      <formula>AND(ISNUMBER(X3),ISNUMBER($W3),X3&lt;&gt;$W3,IFERROR($W3/X3-1,0)&gt;=0.2)</formula>
    </cfRule>
    <cfRule type="expression" priority="161" dxfId="16" stopIfTrue="1">
      <formula>AND(ISNUMBER(X3),ISNUMBER($W3),X3&lt;&gt;$W3,IFERROR($W3/X3-1,0)&gt;=0.1)</formula>
    </cfRule>
    <cfRule type="expression" priority="162" dxfId="17" stopIfTrue="1">
      <formula>AND(ISNUMBER(X3),ISNUMBER($W3),X3&lt;&gt;$W3,IFERROR($W3/X3-1,0)&gt;=0.02)</formula>
    </cfRule>
  </conditionalFormatting>
  <conditionalFormatting sqref="Z3:Z236">
    <cfRule type="expression" priority="163" dxfId="0" stopIfTrue="1">
      <formula>AND(ISNUMBER(Z3),ISNUMBER($Y3),Z3&lt;&gt;$Y3,IFERROR(Z3/$Y3-1,0)&gt;=2.5)</formula>
    </cfRule>
    <cfRule type="expression" priority="164" dxfId="1" stopIfTrue="1">
      <formula>AND(ISNUMBER(Z3),ISNUMBER($Y3),Z3&lt;&gt;$Y3,IFERROR(Z3/$Y3-1,0)&gt;=1.5)</formula>
    </cfRule>
    <cfRule type="expression" priority="165" dxfId="2" stopIfTrue="1">
      <formula>AND(ISNUMBER(Z3),ISNUMBER($Y3),Z3&lt;&gt;$Y3,IFERROR(Z3/$Y3-1,0)&gt;=1.0)</formula>
    </cfRule>
    <cfRule type="expression" priority="166" dxfId="3" stopIfTrue="1">
      <formula>AND(ISNUMBER(Z3),ISNUMBER($Y3),Z3&lt;&gt;$Y3,IFERROR(Z3/$Y3-1,0)&gt;=0.75)</formula>
    </cfRule>
    <cfRule type="expression" priority="167" dxfId="4" stopIfTrue="1">
      <formula>AND(ISNUMBER(Z3),ISNUMBER($Y3),Z3&lt;&gt;$Y3,IFERROR(Z3/$Y3-1,0)&gt;=0.5)</formula>
    </cfRule>
    <cfRule type="expression" priority="168" dxfId="5" stopIfTrue="1">
      <formula>AND(ISNUMBER(Z3),ISNUMBER($Y3),Z3&lt;&gt;$Y3,IFERROR(Z3/$Y3-1,0)&gt;=0.35)</formula>
    </cfRule>
    <cfRule type="expression" priority="169" dxfId="6" stopIfTrue="1">
      <formula>AND(ISNUMBER(Z3),ISNUMBER($Y3),Z3&lt;&gt;$Y3,IFERROR(Z3/$Y3-1,0)&gt;=0.2)</formula>
    </cfRule>
    <cfRule type="expression" priority="170" dxfId="7" stopIfTrue="1">
      <formula>AND(ISNUMBER(Z3),ISNUMBER($Y3),Z3&lt;&gt;$Y3,IFERROR(Z3/$Y3-1,0)&gt;=0.1)</formula>
    </cfRule>
    <cfRule type="expression" priority="171" dxfId="8" stopIfTrue="1">
      <formula>AND(ISNUMBER(Z3),ISNUMBER($Y3),Z3&lt;&gt;$Y3,IFERROR(Z3/$Y3-1,0)&gt;=0.02)</formula>
    </cfRule>
    <cfRule type="expression" priority="172" dxfId="9" stopIfTrue="1">
      <formula>AND(ISNUMBER(Z3),ISNUMBER($Y3),Z3&lt;&gt;$Y3,IFERROR($Y3/Z3-1,0)&gt;=2.5)</formula>
    </cfRule>
    <cfRule type="expression" priority="173" dxfId="10" stopIfTrue="1">
      <formula>AND(ISNUMBER(Z3),ISNUMBER($Y3),Z3&lt;&gt;$Y3,IFERROR($Y3/Z3-1,0)&gt;=1.5)</formula>
    </cfRule>
    <cfRule type="expression" priority="174" dxfId="11" stopIfTrue="1">
      <formula>AND(ISNUMBER(Z3),ISNUMBER($Y3),Z3&lt;&gt;$Y3,IFERROR($Y3/Z3-1,0)&gt;=1.0)</formula>
    </cfRule>
    <cfRule type="expression" priority="175" dxfId="12" stopIfTrue="1">
      <formula>AND(ISNUMBER(Z3),ISNUMBER($Y3),Z3&lt;&gt;$Y3,IFERROR($Y3/Z3-1,0)&gt;=0.75)</formula>
    </cfRule>
    <cfRule type="expression" priority="176" dxfId="13" stopIfTrue="1">
      <formula>AND(ISNUMBER(Z3),ISNUMBER($Y3),Z3&lt;&gt;$Y3,IFERROR($Y3/Z3-1,0)&gt;=0.5)</formula>
    </cfRule>
    <cfRule type="expression" priority="177" dxfId="14" stopIfTrue="1">
      <formula>AND(ISNUMBER(Z3),ISNUMBER($Y3),Z3&lt;&gt;$Y3,IFERROR($Y3/Z3-1,0)&gt;=0.35)</formula>
    </cfRule>
    <cfRule type="expression" priority="178" dxfId="15" stopIfTrue="1">
      <formula>AND(ISNUMBER(Z3),ISNUMBER($Y3),Z3&lt;&gt;$Y3,IFERROR($Y3/Z3-1,0)&gt;=0.2)</formula>
    </cfRule>
    <cfRule type="expression" priority="179" dxfId="16" stopIfTrue="1">
      <formula>AND(ISNUMBER(Z3),ISNUMBER($Y3),Z3&lt;&gt;$Y3,IFERROR($Y3/Z3-1,0)&gt;=0.1)</formula>
    </cfRule>
    <cfRule type="expression" priority="180" dxfId="17" stopIfTrue="1">
      <formula>AND(ISNUMBER(Z3),ISNUMBER($Y3),Z3&lt;&gt;$Y3,IFERROR($Y3/Z3-1,0)&gt;=0.02)</formula>
    </cfRule>
  </conditionalFormatting>
  <conditionalFormatting sqref="AB3:AB236">
    <cfRule type="expression" priority="181" dxfId="0" stopIfTrue="1">
      <formula>AND(ISNUMBER(AB3),ISNUMBER($AA3),AB3&lt;&gt;$AA3,IFERROR(AB3/$AA3-1,0)&gt;=2.5)</formula>
    </cfRule>
    <cfRule type="expression" priority="182" dxfId="1" stopIfTrue="1">
      <formula>AND(ISNUMBER(AB3),ISNUMBER($AA3),AB3&lt;&gt;$AA3,IFERROR(AB3/$AA3-1,0)&gt;=1.5)</formula>
    </cfRule>
    <cfRule type="expression" priority="183" dxfId="2" stopIfTrue="1">
      <formula>AND(ISNUMBER(AB3),ISNUMBER($AA3),AB3&lt;&gt;$AA3,IFERROR(AB3/$AA3-1,0)&gt;=1.0)</formula>
    </cfRule>
    <cfRule type="expression" priority="184" dxfId="3" stopIfTrue="1">
      <formula>AND(ISNUMBER(AB3),ISNUMBER($AA3),AB3&lt;&gt;$AA3,IFERROR(AB3/$AA3-1,0)&gt;=0.75)</formula>
    </cfRule>
    <cfRule type="expression" priority="185" dxfId="4" stopIfTrue="1">
      <formula>AND(ISNUMBER(AB3),ISNUMBER($AA3),AB3&lt;&gt;$AA3,IFERROR(AB3/$AA3-1,0)&gt;=0.5)</formula>
    </cfRule>
    <cfRule type="expression" priority="186" dxfId="5" stopIfTrue="1">
      <formula>AND(ISNUMBER(AB3),ISNUMBER($AA3),AB3&lt;&gt;$AA3,IFERROR(AB3/$AA3-1,0)&gt;=0.35)</formula>
    </cfRule>
    <cfRule type="expression" priority="187" dxfId="6" stopIfTrue="1">
      <formula>AND(ISNUMBER(AB3),ISNUMBER($AA3),AB3&lt;&gt;$AA3,IFERROR(AB3/$AA3-1,0)&gt;=0.2)</formula>
    </cfRule>
    <cfRule type="expression" priority="188" dxfId="7" stopIfTrue="1">
      <formula>AND(ISNUMBER(AB3),ISNUMBER($AA3),AB3&lt;&gt;$AA3,IFERROR(AB3/$AA3-1,0)&gt;=0.1)</formula>
    </cfRule>
    <cfRule type="expression" priority="189" dxfId="8" stopIfTrue="1">
      <formula>AND(ISNUMBER(AB3),ISNUMBER($AA3),AB3&lt;&gt;$AA3,IFERROR(AB3/$AA3-1,0)&gt;=0.02)</formula>
    </cfRule>
    <cfRule type="expression" priority="190" dxfId="9" stopIfTrue="1">
      <formula>AND(ISNUMBER(AB3),ISNUMBER($AA3),AB3&lt;&gt;$AA3,IFERROR($AA3/AB3-1,0)&gt;=2.5)</formula>
    </cfRule>
    <cfRule type="expression" priority="191" dxfId="10" stopIfTrue="1">
      <formula>AND(ISNUMBER(AB3),ISNUMBER($AA3),AB3&lt;&gt;$AA3,IFERROR($AA3/AB3-1,0)&gt;=1.5)</formula>
    </cfRule>
    <cfRule type="expression" priority="192" dxfId="11" stopIfTrue="1">
      <formula>AND(ISNUMBER(AB3),ISNUMBER($AA3),AB3&lt;&gt;$AA3,IFERROR($AA3/AB3-1,0)&gt;=1.0)</formula>
    </cfRule>
    <cfRule type="expression" priority="193" dxfId="12" stopIfTrue="1">
      <formula>AND(ISNUMBER(AB3),ISNUMBER($AA3),AB3&lt;&gt;$AA3,IFERROR($AA3/AB3-1,0)&gt;=0.75)</formula>
    </cfRule>
    <cfRule type="expression" priority="194" dxfId="13" stopIfTrue="1">
      <formula>AND(ISNUMBER(AB3),ISNUMBER($AA3),AB3&lt;&gt;$AA3,IFERROR($AA3/AB3-1,0)&gt;=0.5)</formula>
    </cfRule>
    <cfRule type="expression" priority="195" dxfId="14" stopIfTrue="1">
      <formula>AND(ISNUMBER(AB3),ISNUMBER($AA3),AB3&lt;&gt;$AA3,IFERROR($AA3/AB3-1,0)&gt;=0.35)</formula>
    </cfRule>
    <cfRule type="expression" priority="196" dxfId="15" stopIfTrue="1">
      <formula>AND(ISNUMBER(AB3),ISNUMBER($AA3),AB3&lt;&gt;$AA3,IFERROR($AA3/AB3-1,0)&gt;=0.2)</formula>
    </cfRule>
    <cfRule type="expression" priority="197" dxfId="16" stopIfTrue="1">
      <formula>AND(ISNUMBER(AB3),ISNUMBER($AA3),AB3&lt;&gt;$AA3,IFERROR($AA3/AB3-1,0)&gt;=0.1)</formula>
    </cfRule>
    <cfRule type="expression" priority="198" dxfId="17" stopIfTrue="1">
      <formula>AND(ISNUMBER(AB3),ISNUMBER($AA3),AB3&lt;&gt;$AA3,IFERROR($AA3/AB3-1,0)&gt;=0.02)</formula>
    </cfRule>
  </conditionalFormatting>
  <dataValidations count="1">
    <dataValidation sqref="I3:I236" showDropDown="0" showInputMessage="0" showErrorMessage="0" allowBlank="1" type="list">
      <formula1>"Approve,Reject,Change (see notes)"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</cols>
  <sheetData>
    <row r="1">
      <c r="A1" s="36" t="inlineStr">
        <is>
          <t>1. How the proposal moves JP, next to how you moved EN (vanilla → v1.1)</t>
        </is>
      </c>
    </row>
    <row r="2" ht="45" customHeight="1">
      <c r="A2" s="26" t="inlineStr">
        <is>
          <t>Unlock levels</t>
        </is>
      </c>
      <c r="B2" s="26" t="inlineStr">
        <is>
          <t>Dishes</t>
        </is>
      </c>
      <c r="C2" s="26" t="inlineStr">
        <is>
          <t>Changed</t>
        </is>
      </c>
      <c r="D2" s="26" t="inlineStr">
        <is>
          <t>Median $/min now</t>
        </is>
      </c>
      <c r="E2" s="26" t="inlineStr">
        <is>
          <t>Median $/min proposed</t>
        </is>
      </c>
      <c r="F2" s="26" t="inlineStr">
        <is>
          <t>Median margin now</t>
        </is>
      </c>
      <c r="G2" s="26" t="inlineStr">
        <is>
          <t>Median margin proposed</t>
        </is>
      </c>
      <c r="H2" s="26" t="inlineStr">
        <is>
          <t>Median XP/min (unchanged)</t>
        </is>
      </c>
      <c r="I2" s="26" t="inlineStr">
        <is>
          <t>EN: median $/min vanilla → v1.1</t>
        </is>
      </c>
      <c r="J2" s="26" t="inlineStr">
        <is>
          <t>EN: median margin vanilla → v1.1</t>
        </is>
      </c>
    </row>
    <row r="3">
      <c r="A3" t="inlineStr">
        <is>
          <t>0-5</t>
        </is>
      </c>
      <c r="B3" t="n">
        <v>30</v>
      </c>
      <c r="C3" t="n">
        <v>17</v>
      </c>
      <c r="D3" t="n">
        <v>1.67</v>
      </c>
      <c r="E3" t="n">
        <v>2.56</v>
      </c>
      <c r="F3" t="n">
        <v>0.77</v>
      </c>
      <c r="G3" t="n">
        <v>1.36</v>
      </c>
      <c r="H3" t="n">
        <v>0.23</v>
      </c>
      <c r="I3" t="inlineStr">
        <is>
          <t>1.67 → 4.0</t>
        </is>
      </c>
      <c r="J3" t="inlineStr">
        <is>
          <t>0.78 → 1.84</t>
        </is>
      </c>
    </row>
    <row r="4">
      <c r="A4" t="inlineStr">
        <is>
          <t>6-10</t>
        </is>
      </c>
      <c r="B4" t="n">
        <v>41</v>
      </c>
      <c r="C4" t="n">
        <v>28</v>
      </c>
      <c r="D4" t="n">
        <v>1.33</v>
      </c>
      <c r="E4" t="n">
        <v>2.4</v>
      </c>
      <c r="F4" t="n">
        <v>0.85</v>
      </c>
      <c r="G4" t="n">
        <v>1</v>
      </c>
      <c r="H4" t="n">
        <v>0.17</v>
      </c>
      <c r="I4" t="inlineStr">
        <is>
          <t>1.17 → 1.86</t>
        </is>
      </c>
      <c r="J4" t="inlineStr">
        <is>
          <t>0.74 → 1.44</t>
        </is>
      </c>
    </row>
    <row r="5">
      <c r="A5" t="inlineStr">
        <is>
          <t>11-15</t>
        </is>
      </c>
      <c r="B5" t="n">
        <v>38</v>
      </c>
      <c r="C5" t="n">
        <v>24</v>
      </c>
      <c r="D5" t="n">
        <v>1.51</v>
      </c>
      <c r="E5" t="n">
        <v>2.06</v>
      </c>
      <c r="F5" t="n">
        <v>0.68</v>
      </c>
      <c r="G5" t="n">
        <v>1.17</v>
      </c>
      <c r="H5" t="n">
        <v>0.18</v>
      </c>
      <c r="I5" t="inlineStr">
        <is>
          <t>1.33 → 2.96</t>
        </is>
      </c>
      <c r="J5" t="inlineStr">
        <is>
          <t>1.0 → 1.69</t>
        </is>
      </c>
    </row>
    <row r="6">
      <c r="A6" t="inlineStr">
        <is>
          <t>16-20</t>
        </is>
      </c>
      <c r="B6" t="n">
        <v>31</v>
      </c>
      <c r="C6" t="n">
        <v>19</v>
      </c>
      <c r="D6" t="n">
        <v>1.33</v>
      </c>
      <c r="E6" t="n">
        <v>2.19</v>
      </c>
      <c r="F6" t="n">
        <v>0.84</v>
      </c>
      <c r="G6" t="n">
        <v>1.38</v>
      </c>
      <c r="H6" t="n">
        <v>0.16</v>
      </c>
      <c r="I6" t="inlineStr">
        <is>
          <t>1.09 → 2.29</t>
        </is>
      </c>
      <c r="J6" t="inlineStr">
        <is>
          <t>0.73 → 1.58</t>
        </is>
      </c>
    </row>
    <row r="7">
      <c r="A7" t="inlineStr">
        <is>
          <t>21-30</t>
        </is>
      </c>
      <c r="B7" t="n">
        <v>44</v>
      </c>
      <c r="C7" t="n">
        <v>23</v>
      </c>
      <c r="D7" t="n">
        <v>2</v>
      </c>
      <c r="E7" t="n">
        <v>2.45</v>
      </c>
      <c r="F7" t="n">
        <v>0.9</v>
      </c>
      <c r="G7" t="n">
        <v>1</v>
      </c>
      <c r="H7" t="n">
        <v>0.17</v>
      </c>
      <c r="I7" t="inlineStr">
        <is>
          <t>2.0 → 2.25</t>
        </is>
      </c>
      <c r="J7" t="inlineStr">
        <is>
          <t>0.6 → 1.1</t>
        </is>
      </c>
    </row>
    <row r="8">
      <c r="A8" t="inlineStr">
        <is>
          <t>31+</t>
        </is>
      </c>
      <c r="B8" t="n">
        <v>50</v>
      </c>
      <c r="C8" t="n">
        <v>37</v>
      </c>
      <c r="D8" t="n">
        <v>1.56</v>
      </c>
      <c r="E8" t="n">
        <v>2.4</v>
      </c>
      <c r="F8" t="n">
        <v>0.88</v>
      </c>
      <c r="G8" t="n">
        <v>1.16</v>
      </c>
      <c r="H8" t="n">
        <v>0.13</v>
      </c>
      <c r="I8" t="inlineStr">
        <is>
          <t>2.15 → 2.64</t>
        </is>
      </c>
      <c r="J8" t="inlineStr">
        <is>
          <t>1.05 → 1.7</t>
        </is>
      </c>
    </row>
    <row r="10">
      <c r="A10" s="36" t="inlineStr">
        <is>
          <t>2. Do the JP-only dishes follow the same pattern as the dishes ported from your EN game?</t>
        </is>
      </c>
    </row>
    <row r="11" ht="45" customHeight="1">
      <c r="A11" s="26" t="inlineStr">
        <is>
          <t>Unlock levels</t>
        </is>
      </c>
      <c r="B11" s="26" t="inlineStr">
        <is>
          <t>Group</t>
        </is>
      </c>
      <c r="C11" s="26" t="inlineStr">
        <is>
          <t>Dishes</t>
        </is>
      </c>
      <c r="D11" s="26" t="inlineStr">
        <is>
          <t>Buffed</t>
        </is>
      </c>
      <c r="E11" s="26" t="inlineStr">
        <is>
          <t>Median buff (buffed dishes)</t>
        </is>
      </c>
      <c r="F11" s="26" t="inlineStr">
        <is>
          <t>Median $/min now</t>
        </is>
      </c>
      <c r="G11" s="26" t="inlineStr">
        <is>
          <t>Median $/min proposed</t>
        </is>
      </c>
      <c r="H11" s="26" t="inlineStr">
        <is>
          <t>Median margin proposed</t>
        </is>
      </c>
    </row>
    <row r="12">
      <c r="A12" t="inlineStr">
        <is>
          <t>0-5</t>
        </is>
      </c>
      <c r="B12" t="inlineStr">
        <is>
          <t>Ported from EN</t>
        </is>
      </c>
      <c r="C12" t="n">
        <v>15</v>
      </c>
      <c r="D12" t="inlineStr">
        <is>
          <t>73%</t>
        </is>
      </c>
      <c r="E12" t="inlineStr">
        <is>
          <t>+120%</t>
        </is>
      </c>
      <c r="F12" t="n">
        <v>1.4</v>
      </c>
      <c r="G12" t="n">
        <v>2.5</v>
      </c>
      <c r="H12" t="n">
        <v>1.84</v>
      </c>
    </row>
    <row r="13">
      <c r="A13" t="inlineStr">
        <is>
          <t>0-5</t>
        </is>
      </c>
      <c r="B13" t="inlineStr">
        <is>
          <t>EN dish, JP-repriced</t>
        </is>
      </c>
      <c r="C13" t="n">
        <v>10</v>
      </c>
      <c r="D13" t="inlineStr">
        <is>
          <t>20%</t>
        </is>
      </c>
      <c r="E13" t="inlineStr">
        <is>
          <t>+63%</t>
        </is>
      </c>
      <c r="F13" t="n">
        <v>1.67</v>
      </c>
      <c r="G13" t="n">
        <v>1.98</v>
      </c>
      <c r="H13" t="n">
        <v>0.51</v>
      </c>
    </row>
    <row r="14">
      <c r="A14" t="inlineStr">
        <is>
          <t>0-5</t>
        </is>
      </c>
      <c r="B14" t="inlineStr">
        <is>
          <t>JP-only</t>
        </is>
      </c>
      <c r="C14" t="n">
        <v>5</v>
      </c>
      <c r="D14" t="inlineStr">
        <is>
          <t>80%</t>
        </is>
      </c>
      <c r="E14" t="inlineStr">
        <is>
          <t>+13%</t>
        </is>
      </c>
      <c r="F14" t="n">
        <v>3.33</v>
      </c>
      <c r="G14" t="n">
        <v>3.6</v>
      </c>
      <c r="H14" t="n">
        <v>3.14</v>
      </c>
    </row>
    <row r="15">
      <c r="A15" t="inlineStr">
        <is>
          <t>6-10</t>
        </is>
      </c>
      <c r="B15" t="inlineStr">
        <is>
          <t>Ported from EN</t>
        </is>
      </c>
      <c r="C15" t="n">
        <v>19</v>
      </c>
      <c r="D15" t="inlineStr">
        <is>
          <t>63%</t>
        </is>
      </c>
      <c r="E15" t="inlineStr">
        <is>
          <t>+30%</t>
        </is>
      </c>
      <c r="F15" t="n">
        <v>1.13</v>
      </c>
      <c r="G15" t="n">
        <v>1.22</v>
      </c>
      <c r="H15" t="n">
        <v>0.73</v>
      </c>
    </row>
    <row r="16">
      <c r="A16" t="inlineStr">
        <is>
          <t>6-10</t>
        </is>
      </c>
      <c r="B16" t="inlineStr">
        <is>
          <t>EN dish, JP-repriced</t>
        </is>
      </c>
      <c r="C16" t="n">
        <v>4</v>
      </c>
      <c r="D16" t="inlineStr">
        <is>
          <t>100%</t>
        </is>
      </c>
      <c r="E16" t="inlineStr">
        <is>
          <t>+137%</t>
        </is>
      </c>
      <c r="F16" t="n">
        <v>0.65</v>
      </c>
      <c r="G16" t="n">
        <v>1.8</v>
      </c>
      <c r="H16" t="n">
        <v>2.03</v>
      </c>
    </row>
    <row r="17">
      <c r="A17" t="inlineStr">
        <is>
          <t>6-10</t>
        </is>
      </c>
      <c r="B17" t="inlineStr">
        <is>
          <t>JP-only</t>
        </is>
      </c>
      <c r="C17" t="n">
        <v>18</v>
      </c>
      <c r="D17" t="inlineStr">
        <is>
          <t>67%</t>
        </is>
      </c>
      <c r="E17" t="inlineStr">
        <is>
          <t>+12%</t>
        </is>
      </c>
      <c r="F17" t="n">
        <v>3.58</v>
      </c>
      <c r="G17" t="n">
        <v>4.1</v>
      </c>
      <c r="H17" t="n">
        <v>1.63</v>
      </c>
    </row>
    <row r="18">
      <c r="A18" t="inlineStr">
        <is>
          <t>11-15</t>
        </is>
      </c>
      <c r="B18" t="inlineStr">
        <is>
          <t>Ported from EN</t>
        </is>
      </c>
      <c r="C18" t="n">
        <v>12</v>
      </c>
      <c r="D18" t="inlineStr">
        <is>
          <t>92%</t>
        </is>
      </c>
      <c r="E18" t="inlineStr">
        <is>
          <t>+50%</t>
        </is>
      </c>
      <c r="F18" t="n">
        <v>1.25</v>
      </c>
      <c r="G18" t="n">
        <v>1.99</v>
      </c>
      <c r="H18" t="n">
        <v>2</v>
      </c>
    </row>
    <row r="19">
      <c r="A19" t="inlineStr">
        <is>
          <t>11-15</t>
        </is>
      </c>
      <c r="B19" t="inlineStr">
        <is>
          <t>EN dish, JP-repriced</t>
        </is>
      </c>
      <c r="C19" t="n">
        <v>8</v>
      </c>
      <c r="D19" t="inlineStr">
        <is>
          <t>50%</t>
        </is>
      </c>
      <c r="E19" t="inlineStr">
        <is>
          <t>+150%</t>
        </is>
      </c>
      <c r="F19" t="n">
        <v>1.38</v>
      </c>
      <c r="G19" t="n">
        <v>2.17</v>
      </c>
      <c r="H19" t="n">
        <v>0.83</v>
      </c>
    </row>
    <row r="20">
      <c r="A20" t="inlineStr">
        <is>
          <t>11-15</t>
        </is>
      </c>
      <c r="B20" t="inlineStr">
        <is>
          <t>JP-only</t>
        </is>
      </c>
      <c r="C20" t="n">
        <v>18</v>
      </c>
      <c r="D20" t="inlineStr">
        <is>
          <t>50%</t>
        </is>
      </c>
      <c r="E20" t="inlineStr">
        <is>
          <t>+15%</t>
        </is>
      </c>
      <c r="F20" t="n">
        <v>2.15</v>
      </c>
      <c r="G20" t="n">
        <v>2.31</v>
      </c>
      <c r="H20" t="n">
        <v>1.14</v>
      </c>
    </row>
    <row r="21">
      <c r="A21" t="inlineStr">
        <is>
          <t>16-20</t>
        </is>
      </c>
      <c r="B21" t="inlineStr">
        <is>
          <t>Ported from EN</t>
        </is>
      </c>
      <c r="C21" t="n">
        <v>11</v>
      </c>
      <c r="D21" t="inlineStr">
        <is>
          <t>73%</t>
        </is>
      </c>
      <c r="E21" t="inlineStr">
        <is>
          <t>+72%</t>
        </is>
      </c>
      <c r="F21" t="n">
        <v>1.15</v>
      </c>
      <c r="G21" t="n">
        <v>1.98</v>
      </c>
      <c r="H21" t="n">
        <v>1</v>
      </c>
    </row>
    <row r="22">
      <c r="A22" t="inlineStr">
        <is>
          <t>16-20</t>
        </is>
      </c>
      <c r="B22" t="inlineStr">
        <is>
          <t>EN dish, JP-repriced</t>
        </is>
      </c>
      <c r="C22" t="n">
        <v>4</v>
      </c>
      <c r="D22" t="inlineStr">
        <is>
          <t>100%</t>
        </is>
      </c>
      <c r="E22" t="inlineStr">
        <is>
          <t>+14%</t>
        </is>
      </c>
      <c r="F22" t="n">
        <v>0.97</v>
      </c>
      <c r="G22" t="n">
        <v>1.48</v>
      </c>
      <c r="H22" t="n">
        <v>1.69</v>
      </c>
    </row>
    <row r="23">
      <c r="A23" t="inlineStr">
        <is>
          <t>16-20</t>
        </is>
      </c>
      <c r="B23" t="inlineStr">
        <is>
          <t>JP-only</t>
        </is>
      </c>
      <c r="C23" t="n">
        <v>16</v>
      </c>
      <c r="D23" t="inlineStr">
        <is>
          <t>44%</t>
        </is>
      </c>
      <c r="E23" t="inlineStr">
        <is>
          <t>+12%</t>
        </is>
      </c>
      <c r="F23" t="n">
        <v>2.24</v>
      </c>
      <c r="G23" t="n">
        <v>2.38</v>
      </c>
      <c r="H23" t="n">
        <v>1.32</v>
      </c>
    </row>
    <row r="24">
      <c r="A24" t="inlineStr">
        <is>
          <t>21-30</t>
        </is>
      </c>
      <c r="B24" t="inlineStr">
        <is>
          <t>Ported from EN</t>
        </is>
      </c>
      <c r="C24" t="n">
        <v>8</v>
      </c>
      <c r="D24" t="inlineStr">
        <is>
          <t>62%</t>
        </is>
      </c>
      <c r="E24" t="inlineStr">
        <is>
          <t>+112%</t>
        </is>
      </c>
      <c r="F24" t="n">
        <v>1.45</v>
      </c>
      <c r="G24" t="n">
        <v>2.97</v>
      </c>
      <c r="H24" t="n">
        <v>0.95</v>
      </c>
    </row>
    <row r="25">
      <c r="A25" t="inlineStr">
        <is>
          <t>21-30</t>
        </is>
      </c>
      <c r="B25" t="inlineStr">
        <is>
          <t>EN dish, JP-repriced</t>
        </is>
      </c>
      <c r="C25" t="n">
        <v>13</v>
      </c>
      <c r="D25" t="inlineStr">
        <is>
          <t>54%</t>
        </is>
      </c>
      <c r="E25" t="inlineStr">
        <is>
          <t>+14%</t>
        </is>
      </c>
      <c r="F25" t="n">
        <v>1.5</v>
      </c>
      <c r="G25" t="n">
        <v>2.19</v>
      </c>
      <c r="H25" t="n">
        <v>0.95</v>
      </c>
    </row>
    <row r="26">
      <c r="A26" t="inlineStr">
        <is>
          <t>21-30</t>
        </is>
      </c>
      <c r="B26" t="inlineStr">
        <is>
          <t>JP-only</t>
        </is>
      </c>
      <c r="C26" t="n">
        <v>23</v>
      </c>
      <c r="D26" t="inlineStr">
        <is>
          <t>48%</t>
        </is>
      </c>
      <c r="E26" t="inlineStr">
        <is>
          <t>+19%</t>
        </is>
      </c>
      <c r="F26" t="n">
        <v>2.38</v>
      </c>
      <c r="G26" t="n">
        <v>2.7</v>
      </c>
      <c r="H26" t="n">
        <v>1</v>
      </c>
    </row>
    <row r="27">
      <c r="A27" t="inlineStr">
        <is>
          <t>31+</t>
        </is>
      </c>
      <c r="B27" t="inlineStr">
        <is>
          <t>EN dish, JP-repriced</t>
        </is>
      </c>
      <c r="C27" t="n">
        <v>35</v>
      </c>
      <c r="D27" t="inlineStr">
        <is>
          <t>77%</t>
        </is>
      </c>
      <c r="E27" t="inlineStr">
        <is>
          <t>+42%</t>
        </is>
      </c>
      <c r="F27" t="n">
        <v>1.55</v>
      </c>
      <c r="G27" t="n">
        <v>2.1</v>
      </c>
      <c r="H27" t="n">
        <v>1.19</v>
      </c>
    </row>
    <row r="28">
      <c r="A28" t="inlineStr">
        <is>
          <t>31+</t>
        </is>
      </c>
      <c r="B28" t="inlineStr">
        <is>
          <t>JP-only</t>
        </is>
      </c>
      <c r="C28" t="n">
        <v>15</v>
      </c>
      <c r="D28" t="inlineStr">
        <is>
          <t>67%</t>
        </is>
      </c>
      <c r="E28" t="inlineStr">
        <is>
          <t>+35%</t>
        </is>
      </c>
      <c r="F28" t="n">
        <v>2.38</v>
      </c>
      <c r="G28" t="n">
        <v>2.64</v>
      </c>
      <c r="H28" t="n">
        <v>1.13</v>
      </c>
    </row>
    <row r="29">
      <c r="A29" s="37" t="inlineStr">
        <is>
          <t>All</t>
        </is>
      </c>
      <c r="B29" s="37" t="inlineStr">
        <is>
          <t>Ported from EN</t>
        </is>
      </c>
      <c r="C29" s="37" t="n">
        <v>65</v>
      </c>
      <c r="D29" s="37" t="inlineStr">
        <is>
          <t>72%</t>
        </is>
      </c>
      <c r="E29" s="37" t="inlineStr">
        <is>
          <t>+78%</t>
        </is>
      </c>
      <c r="F29" s="37" t="n">
        <v>1.17</v>
      </c>
      <c r="G29" s="37" t="n">
        <v>1.98</v>
      </c>
      <c r="H29" s="37" t="n">
        <v>1</v>
      </c>
    </row>
    <row r="30">
      <c r="A30" s="37" t="inlineStr">
        <is>
          <t>All</t>
        </is>
      </c>
      <c r="B30" s="37" t="inlineStr">
        <is>
          <t>EN dish, JP-repriced</t>
        </is>
      </c>
      <c r="C30" s="37" t="n">
        <v>74</v>
      </c>
      <c r="D30" s="37" t="inlineStr">
        <is>
          <t>65%</t>
        </is>
      </c>
      <c r="E30" s="37" t="inlineStr">
        <is>
          <t>+52%</t>
        </is>
      </c>
      <c r="F30" s="37" t="n">
        <v>1.46</v>
      </c>
      <c r="G30" s="37" t="n">
        <v>2.05</v>
      </c>
      <c r="H30" s="37" t="n">
        <v>1.08</v>
      </c>
    </row>
    <row r="31">
      <c r="A31" s="37" t="inlineStr">
        <is>
          <t>All</t>
        </is>
      </c>
      <c r="B31" s="37" t="inlineStr">
        <is>
          <t>JP-only</t>
        </is>
      </c>
      <c r="C31" s="37" t="n">
        <v>95</v>
      </c>
      <c r="D31" s="37" t="inlineStr">
        <is>
          <t>56%</t>
        </is>
      </c>
      <c r="E31" s="37" t="inlineStr">
        <is>
          <t>+15%</t>
        </is>
      </c>
      <c r="F31" s="37" t="n">
        <v>2.54</v>
      </c>
      <c r="G31" s="37" t="n">
        <v>2.87</v>
      </c>
      <c r="H31" s="37" t="n">
        <v>1.1</v>
      </c>
    </row>
    <row r="32">
      <c r="A32" s="38" t="inlineStr">
        <is>
          <t>Reading it: the buffs follow your EN pattern in every group, but JP-only dishes (mostly event dishes) already earned 2.2× more per minute than the classic dishes before any change (2.54 vs 1.17 $/min). After the proposal the gap is 1.4× (2.87 vs 1.98). Whether that is fine depends on how event dishes unlock offline (Read me).</t>
        </is>
      </c>
    </row>
    <row r="34">
      <c r="A34" s="36" t="inlineStr">
        <is>
          <t>3. By how the dish is unlocked</t>
        </is>
      </c>
    </row>
    <row r="35" ht="30" customHeight="1">
      <c r="A35" s="26" t="inlineStr">
        <is>
          <t>How unlocked</t>
        </is>
      </c>
      <c r="B35" s="26" t="inlineStr">
        <is>
          <t>Dishes</t>
        </is>
      </c>
      <c r="C35" s="26" t="inlineStr">
        <is>
          <t>Changed</t>
        </is>
      </c>
      <c r="D35" s="26" t="inlineStr">
        <is>
          <t>Median $/min now</t>
        </is>
      </c>
      <c r="E35" s="26" t="inlineStr">
        <is>
          <t>Median $/min proposed</t>
        </is>
      </c>
      <c r="F35" s="26" t="inlineStr">
        <is>
          <t>Median margin now</t>
        </is>
      </c>
      <c r="G35" s="26" t="inlineStr">
        <is>
          <t>Median margin proposed</t>
        </is>
      </c>
    </row>
    <row r="36">
      <c r="A36" t="inlineStr">
        <is>
          <t>Level track</t>
        </is>
      </c>
      <c r="B36" t="n">
        <v>62</v>
      </c>
      <c r="C36" t="n">
        <v>44</v>
      </c>
      <c r="D36" t="n">
        <v>1.46</v>
      </c>
      <c r="E36" t="n">
        <v>2.33</v>
      </c>
      <c r="F36" t="n">
        <v>0.75</v>
      </c>
      <c r="G36" t="n">
        <v>1.08</v>
      </c>
    </row>
    <row r="37">
      <c r="A37" t="inlineStr">
        <is>
          <t>Raid recipe</t>
        </is>
      </c>
      <c r="B37" t="n">
        <v>52</v>
      </c>
      <c r="C37" t="n">
        <v>36</v>
      </c>
      <c r="D37" t="n">
        <v>1.19</v>
      </c>
      <c r="E37" t="n">
        <v>1.79</v>
      </c>
      <c r="F37" t="n">
        <v>0.57</v>
      </c>
      <c r="G37" t="n">
        <v>0.97</v>
      </c>
    </row>
    <row r="38">
      <c r="A38" t="inlineStr">
        <is>
          <t>Raid recipe (also sold)</t>
        </is>
      </c>
      <c r="B38" t="n">
        <v>22</v>
      </c>
      <c r="C38" t="n">
        <v>16</v>
      </c>
      <c r="D38" t="n">
        <v>1.45</v>
      </c>
      <c r="E38" t="n">
        <v>2.23</v>
      </c>
      <c r="F38" t="n">
        <v>0.78</v>
      </c>
      <c r="G38" t="n">
        <v>1.69</v>
      </c>
    </row>
    <row r="39">
      <c r="A39" t="inlineStr">
        <is>
          <t>Special</t>
        </is>
      </c>
      <c r="B39" t="n">
        <v>1</v>
      </c>
      <c r="C39" t="n">
        <v>1</v>
      </c>
      <c r="D39" t="n">
        <v>1.4</v>
      </c>
      <c r="E39" t="n">
        <v>1.95</v>
      </c>
      <c r="F39" t="n">
        <v>1.62</v>
      </c>
      <c r="G39" t="n">
        <v>6.16</v>
      </c>
    </row>
    <row r="40">
      <c r="A40" t="inlineStr">
        <is>
          <t>Event recipe</t>
        </is>
      </c>
      <c r="B40" t="n">
        <v>75</v>
      </c>
      <c r="C40" t="n">
        <v>39</v>
      </c>
      <c r="D40" t="n">
        <v>2.5</v>
      </c>
      <c r="E40" t="n">
        <v>2.67</v>
      </c>
      <c r="F40" t="n">
        <v>1</v>
      </c>
      <c r="G40" t="n">
        <v>1.07</v>
      </c>
    </row>
    <row r="41">
      <c r="A41" t="inlineStr">
        <is>
          <t>Event recipe (late)</t>
        </is>
      </c>
      <c r="B41" t="n">
        <v>22</v>
      </c>
      <c r="C41" t="n">
        <v>12</v>
      </c>
      <c r="D41" t="n">
        <v>2.13</v>
      </c>
      <c r="E41" t="n">
        <v>2.6</v>
      </c>
      <c r="F41" t="n">
        <v>0.97</v>
      </c>
      <c r="G41" t="n">
        <v>1</v>
      </c>
    </row>
    <row r="43">
      <c r="A43" t="inlineStr">
        <is>
          <t>Method check: on your 170 free EN dishes, this method predicts your v1.1 profit change with a typical error of 20% (change-nothing: 41%).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Lv</t>
        </is>
      </c>
      <c r="C1" t="inlineStr">
        <is>
          <t>Proposed $/min (capped at 10)</t>
        </is>
      </c>
      <c r="D1" t="inlineStr">
        <is>
          <t>Dish</t>
        </is>
      </c>
    </row>
    <row r="2">
      <c r="A2" t="inlineStr">
        <is>
          <t>Ported from EN</t>
        </is>
      </c>
      <c r="B2" t="n">
        <v>1</v>
      </c>
      <c r="C2" t="n">
        <v>4</v>
      </c>
      <c r="D2" t="inlineStr">
        <is>
          <t>Mystery Meat</t>
        </is>
      </c>
    </row>
    <row r="3">
      <c r="A3" t="inlineStr">
        <is>
          <t>Ported from EN</t>
        </is>
      </c>
      <c r="B3" t="n">
        <v>1</v>
      </c>
      <c r="C3" t="n">
        <v>7</v>
      </c>
      <c r="D3" t="inlineStr">
        <is>
          <t>Hobo Delight</t>
        </is>
      </c>
    </row>
    <row r="4">
      <c r="A4" t="inlineStr">
        <is>
          <t>Ported from EN</t>
        </is>
      </c>
      <c r="B4" t="n">
        <v>2</v>
      </c>
      <c r="C4" t="n">
        <v>6.33</v>
      </c>
      <c r="D4" t="inlineStr">
        <is>
          <t>Dishwater Soup</t>
        </is>
      </c>
    </row>
    <row r="5">
      <c r="A5" t="inlineStr">
        <is>
          <t>Ported from EN</t>
        </is>
      </c>
      <c r="B5" t="n">
        <v>3</v>
      </c>
      <c r="C5" t="n">
        <v>1.52</v>
      </c>
      <c r="D5" t="inlineStr">
        <is>
          <t>Leftunders</t>
        </is>
      </c>
    </row>
    <row r="6">
      <c r="A6" t="inlineStr">
        <is>
          <t>Ported from EN</t>
        </is>
      </c>
      <c r="B6" t="n">
        <v>3</v>
      </c>
      <c r="C6" t="n">
        <v>4.33</v>
      </c>
      <c r="D6" t="inlineStr">
        <is>
          <t>Green Eggs &amp; Sam</t>
        </is>
      </c>
    </row>
    <row r="7">
      <c r="A7" t="inlineStr">
        <is>
          <t>Ported from EN</t>
        </is>
      </c>
      <c r="B7" t="n">
        <v>3</v>
      </c>
      <c r="C7" t="n">
        <v>0.79</v>
      </c>
      <c r="D7" t="inlineStr">
        <is>
          <t>Finger Sandwiches</t>
        </is>
      </c>
    </row>
    <row r="8">
      <c r="A8" t="inlineStr">
        <is>
          <t>Ported from EN</t>
        </is>
      </c>
      <c r="B8" t="n">
        <v>4</v>
      </c>
      <c r="C8" t="n">
        <v>1.01</v>
      </c>
      <c r="D8" t="inlineStr">
        <is>
          <t>Gello Mold</t>
        </is>
      </c>
    </row>
    <row r="9">
      <c r="A9" t="inlineStr">
        <is>
          <t>Ported from EN</t>
        </is>
      </c>
      <c r="B9" t="n">
        <v>4</v>
      </c>
      <c r="C9" t="n">
        <v>1.22</v>
      </c>
      <c r="D9" t="inlineStr">
        <is>
          <t>Toe Jam Sandwiches</t>
        </is>
      </c>
    </row>
    <row r="10">
      <c r="A10" t="inlineStr">
        <is>
          <t>Ported from EN</t>
        </is>
      </c>
      <c r="B10" t="n">
        <v>4</v>
      </c>
      <c r="C10" t="n">
        <v>2.5</v>
      </c>
      <c r="D10" t="inlineStr">
        <is>
          <t>Dough-Nots</t>
        </is>
      </c>
    </row>
    <row r="11">
      <c r="A11" t="inlineStr">
        <is>
          <t>Ported from EN</t>
        </is>
      </c>
      <c r="B11" t="n">
        <v>5</v>
      </c>
      <c r="C11" t="n">
        <v>2.2</v>
      </c>
      <c r="D11" t="inlineStr">
        <is>
          <t>Handburgers &amp; Flies</t>
        </is>
      </c>
    </row>
    <row r="12">
      <c r="A12" t="inlineStr">
        <is>
          <t>Ported from EN</t>
        </is>
      </c>
      <c r="B12" t="n">
        <v>5</v>
      </c>
      <c r="C12" t="n">
        <v>4.33</v>
      </c>
      <c r="D12" t="inlineStr">
        <is>
          <t>Green-plate Special</t>
        </is>
      </c>
    </row>
    <row r="13">
      <c r="A13" t="inlineStr">
        <is>
          <t>Ported from EN</t>
        </is>
      </c>
      <c r="B13" t="n">
        <v>5</v>
      </c>
      <c r="C13" t="n">
        <v>6.33</v>
      </c>
      <c r="D13" t="inlineStr">
        <is>
          <t>Onion Wrongs</t>
        </is>
      </c>
    </row>
    <row r="14">
      <c r="A14" t="inlineStr">
        <is>
          <t>Ported from EN</t>
        </is>
      </c>
      <c r="B14" t="n">
        <v>5</v>
      </c>
      <c r="C14" t="n">
        <v>1.95</v>
      </c>
      <c r="D14" t="inlineStr">
        <is>
          <t>Jam on Toes</t>
        </is>
      </c>
    </row>
    <row r="15">
      <c r="A15" t="inlineStr">
        <is>
          <t>Ported from EN</t>
        </is>
      </c>
      <c r="B15" t="n">
        <v>5</v>
      </c>
      <c r="C15" t="n">
        <v>2.5</v>
      </c>
      <c r="D15" t="inlineStr">
        <is>
          <t>Haggis</t>
        </is>
      </c>
    </row>
    <row r="16">
      <c r="A16" t="inlineStr">
        <is>
          <t>Ported from EN</t>
        </is>
      </c>
      <c r="B16" t="n">
        <v>5</v>
      </c>
      <c r="C16" t="n">
        <v>8.42</v>
      </c>
      <c r="D16" t="inlineStr">
        <is>
          <t>Caramel Adam's Apple</t>
        </is>
      </c>
    </row>
    <row r="17">
      <c r="A17" t="inlineStr">
        <is>
          <t>Ported from EN</t>
        </is>
      </c>
      <c r="B17" t="n">
        <v>6</v>
      </c>
      <c r="C17" t="n">
        <v>0.83</v>
      </c>
      <c r="D17" t="inlineStr">
        <is>
          <t>Sloppy "Joe"</t>
        </is>
      </c>
    </row>
    <row r="18">
      <c r="A18" t="inlineStr">
        <is>
          <t>Ported from EN</t>
        </is>
      </c>
      <c r="B18" t="n">
        <v>6</v>
      </c>
      <c r="C18" t="n">
        <v>0.62</v>
      </c>
      <c r="D18" t="inlineStr">
        <is>
          <t>Tumor Melts</t>
        </is>
      </c>
    </row>
    <row r="19">
      <c r="A19" t="inlineStr">
        <is>
          <t>Ported from EN</t>
        </is>
      </c>
      <c r="B19" t="n">
        <v>6</v>
      </c>
      <c r="C19" t="n">
        <v>1.67</v>
      </c>
      <c r="D19" t="inlineStr">
        <is>
          <t>Zomelets</t>
        </is>
      </c>
    </row>
    <row r="20">
      <c r="A20" t="inlineStr">
        <is>
          <t>Ported from EN</t>
        </is>
      </c>
      <c r="B20" t="n">
        <v>6</v>
      </c>
      <c r="C20" t="n">
        <v>2.44</v>
      </c>
      <c r="D20" t="inlineStr">
        <is>
          <t>Rot Dogs</t>
        </is>
      </c>
    </row>
    <row r="21">
      <c r="A21" t="inlineStr">
        <is>
          <t>Ported from EN</t>
        </is>
      </c>
      <c r="B21" t="n">
        <v>7</v>
      </c>
      <c r="C21" t="n">
        <v>1.17</v>
      </c>
      <c r="D21" t="inlineStr">
        <is>
          <t>Meat Lover Pizza</t>
        </is>
      </c>
    </row>
    <row r="22">
      <c r="A22" t="inlineStr">
        <is>
          <t>Ported from EN</t>
        </is>
      </c>
      <c r="B22" t="n">
        <v>7</v>
      </c>
      <c r="C22" t="n">
        <v>1.31</v>
      </c>
      <c r="D22" t="inlineStr">
        <is>
          <t>Pork 'n' Brains</t>
        </is>
      </c>
    </row>
    <row r="23">
      <c r="A23" t="inlineStr">
        <is>
          <t>Ported from EN</t>
        </is>
      </c>
      <c r="B23" t="n">
        <v>7</v>
      </c>
      <c r="C23" t="n">
        <v>0.58</v>
      </c>
      <c r="D23" t="inlineStr">
        <is>
          <t>Fetidccine</t>
        </is>
      </c>
    </row>
    <row r="24">
      <c r="A24" t="inlineStr">
        <is>
          <t>Ported from EN</t>
        </is>
      </c>
      <c r="B24" t="n">
        <v>7</v>
      </c>
      <c r="C24" t="n">
        <v>1.25</v>
      </c>
      <c r="D24" t="inlineStr">
        <is>
          <t>Tofu Brain</t>
        </is>
      </c>
    </row>
    <row r="25">
      <c r="A25" t="inlineStr">
        <is>
          <t>Ported from EN</t>
        </is>
      </c>
      <c r="B25" t="n">
        <v>8</v>
      </c>
      <c r="C25" t="n">
        <v>2.33</v>
      </c>
      <c r="D25" t="inlineStr">
        <is>
          <t>Mac &amp; Fleas</t>
        </is>
      </c>
    </row>
    <row r="26">
      <c r="A26" t="inlineStr">
        <is>
          <t>Ported from EN</t>
        </is>
      </c>
      <c r="B26" t="n">
        <v>8</v>
      </c>
      <c r="C26" t="n">
        <v>0.75</v>
      </c>
      <c r="D26" t="inlineStr">
        <is>
          <t>Wormicelli</t>
        </is>
      </c>
    </row>
    <row r="27">
      <c r="A27" t="inlineStr">
        <is>
          <t>Ported from EN</t>
        </is>
      </c>
      <c r="B27" t="n">
        <v>8</v>
      </c>
      <c r="C27" t="n">
        <v>2.5</v>
      </c>
      <c r="D27" t="inlineStr">
        <is>
          <t>Army Rations</t>
        </is>
      </c>
    </row>
    <row r="28">
      <c r="A28" t="inlineStr">
        <is>
          <t>Ported from EN</t>
        </is>
      </c>
      <c r="B28" t="n">
        <v>8</v>
      </c>
      <c r="C28" t="n">
        <v>2.92</v>
      </c>
      <c r="D28" t="inlineStr">
        <is>
          <t>Street Pizza</t>
        </is>
      </c>
    </row>
    <row r="29">
      <c r="A29" t="inlineStr">
        <is>
          <t>Ported from EN</t>
        </is>
      </c>
      <c r="B29" t="n">
        <v>9</v>
      </c>
      <c r="C29" t="n">
        <v>0.95</v>
      </c>
      <c r="D29" t="inlineStr">
        <is>
          <t>Gnasty Gnocchi</t>
        </is>
      </c>
    </row>
    <row r="30">
      <c r="A30" t="inlineStr">
        <is>
          <t>Ported from EN</t>
        </is>
      </c>
      <c r="B30" t="n">
        <v>9</v>
      </c>
      <c r="C30" t="n">
        <v>1.22</v>
      </c>
      <c r="D30" t="inlineStr">
        <is>
          <t>Tiramiseeeww</t>
        </is>
      </c>
    </row>
    <row r="31">
      <c r="A31" t="inlineStr">
        <is>
          <t>Ported from EN</t>
        </is>
      </c>
      <c r="B31" t="n">
        <v>9</v>
      </c>
      <c r="C31" t="n">
        <v>2.4</v>
      </c>
      <c r="D31" t="inlineStr">
        <is>
          <t>Flied Lice</t>
        </is>
      </c>
    </row>
    <row r="32">
      <c r="A32" t="inlineStr">
        <is>
          <t>Ported from EN</t>
        </is>
      </c>
      <c r="B32" t="n">
        <v>9</v>
      </c>
      <c r="C32" t="n">
        <v>1.2</v>
      </c>
      <c r="D32" t="inlineStr">
        <is>
          <t>Keblobs</t>
        </is>
      </c>
    </row>
    <row r="33">
      <c r="A33" t="inlineStr">
        <is>
          <t>Ported from EN</t>
        </is>
      </c>
      <c r="B33" t="n">
        <v>10</v>
      </c>
      <c r="C33" t="n">
        <v>5.5</v>
      </c>
      <c r="D33" t="inlineStr">
        <is>
          <t>Wonton Goop</t>
        </is>
      </c>
    </row>
    <row r="34">
      <c r="A34" t="inlineStr">
        <is>
          <t>Ported from EN</t>
        </is>
      </c>
      <c r="B34" t="n">
        <v>10</v>
      </c>
      <c r="C34" t="n">
        <v>0.74</v>
      </c>
      <c r="D34" t="inlineStr">
        <is>
          <t>Curry Slurry</t>
        </is>
      </c>
    </row>
    <row r="35">
      <c r="A35" t="inlineStr">
        <is>
          <t>Ported from EN</t>
        </is>
      </c>
      <c r="B35" t="n">
        <v>10</v>
      </c>
      <c r="C35" t="n">
        <v>0.73</v>
      </c>
      <c r="D35" t="inlineStr">
        <is>
          <t>Bul-goo-gi</t>
        </is>
      </c>
    </row>
    <row r="36">
      <c r="A36" t="inlineStr">
        <is>
          <t>Ported from EN</t>
        </is>
      </c>
      <c r="B36" t="n">
        <v>11</v>
      </c>
      <c r="C36" t="n">
        <v>6.33</v>
      </c>
      <c r="D36" t="inlineStr">
        <is>
          <t>Misfortune Cookies</t>
        </is>
      </c>
    </row>
    <row r="37">
      <c r="A37" t="inlineStr">
        <is>
          <t>Ported from EN</t>
        </is>
      </c>
      <c r="B37" t="n">
        <v>11</v>
      </c>
      <c r="C37" t="n">
        <v>2.1</v>
      </c>
      <c r="D37" t="inlineStr">
        <is>
          <t>Faux Noodles</t>
        </is>
      </c>
    </row>
    <row r="38">
      <c r="A38" t="inlineStr">
        <is>
          <t>Ported from EN</t>
        </is>
      </c>
      <c r="B38" t="n">
        <v>12</v>
      </c>
      <c r="C38" t="n">
        <v>1.58</v>
      </c>
      <c r="D38" t="inlineStr">
        <is>
          <t>Ground Chuck</t>
        </is>
      </c>
    </row>
    <row r="39">
      <c r="A39" t="inlineStr">
        <is>
          <t>Ported from EN</t>
        </is>
      </c>
      <c r="B39" t="n">
        <v>12</v>
      </c>
      <c r="C39" t="n">
        <v>1.04</v>
      </c>
      <c r="D39" t="inlineStr">
        <is>
          <t>Burro-itos</t>
        </is>
      </c>
    </row>
    <row r="40">
      <c r="A40" t="inlineStr">
        <is>
          <t>Ported from EN</t>
        </is>
      </c>
      <c r="B40" t="n">
        <v>12</v>
      </c>
      <c r="C40" t="n">
        <v>2.6</v>
      </c>
      <c r="D40" t="inlineStr">
        <is>
          <t>Roast Turk-key</t>
        </is>
      </c>
    </row>
    <row r="41">
      <c r="A41" t="inlineStr">
        <is>
          <t>Ported from EN</t>
        </is>
      </c>
      <c r="B41" t="n">
        <v>13</v>
      </c>
      <c r="C41" t="n">
        <v>3</v>
      </c>
      <c r="D41" t="inlineStr">
        <is>
          <t>Chili con Carney</t>
        </is>
      </c>
    </row>
    <row r="42">
      <c r="A42" t="inlineStr">
        <is>
          <t>Ported from EN</t>
        </is>
      </c>
      <c r="B42" t="n">
        <v>13</v>
      </c>
      <c r="C42" t="n">
        <v>1.5</v>
      </c>
      <c r="D42" t="inlineStr">
        <is>
          <t>Loco Tacos</t>
        </is>
      </c>
    </row>
    <row r="43">
      <c r="A43" t="inlineStr">
        <is>
          <t>Ported from EN</t>
        </is>
      </c>
      <c r="B43" t="n">
        <v>14</v>
      </c>
      <c r="C43" t="n">
        <v>6.33</v>
      </c>
      <c r="D43" t="inlineStr">
        <is>
          <t>Entrail-ladas</t>
        </is>
      </c>
    </row>
    <row r="44">
      <c r="A44" t="inlineStr">
        <is>
          <t>Ported from EN</t>
        </is>
      </c>
      <c r="B44" t="n">
        <v>14</v>
      </c>
      <c r="C44" t="n">
        <v>2.07</v>
      </c>
      <c r="D44" t="inlineStr">
        <is>
          <t>Guck-a-mole</t>
        </is>
      </c>
    </row>
    <row r="45">
      <c r="A45" t="inlineStr">
        <is>
          <t>Ported from EN</t>
        </is>
      </c>
      <c r="B45" t="n">
        <v>15</v>
      </c>
      <c r="C45" t="n">
        <v>0.5600000000000001</v>
      </c>
      <c r="D45" t="inlineStr">
        <is>
          <t>Blood Pudding</t>
        </is>
      </c>
    </row>
    <row r="46">
      <c r="A46" t="inlineStr">
        <is>
          <t>Ported from EN</t>
        </is>
      </c>
      <c r="B46" t="n">
        <v>15</v>
      </c>
      <c r="C46" t="n">
        <v>0.89</v>
      </c>
      <c r="D46" t="inlineStr">
        <is>
          <t>Hag-Gus</t>
        </is>
      </c>
    </row>
    <row r="47">
      <c r="A47" t="inlineStr">
        <is>
          <t>Ported from EN</t>
        </is>
      </c>
      <c r="B47" t="n">
        <v>15</v>
      </c>
      <c r="C47" t="n">
        <v>1.91</v>
      </c>
      <c r="D47" t="inlineStr">
        <is>
          <t>Cremated Brulee</t>
        </is>
      </c>
    </row>
    <row r="48">
      <c r="A48" t="inlineStr">
        <is>
          <t>Ported from EN</t>
        </is>
      </c>
      <c r="B48" t="n">
        <v>16</v>
      </c>
      <c r="C48" t="n">
        <v>0.78</v>
      </c>
      <c r="D48" t="inlineStr">
        <is>
          <t>Stake &amp; Kidney Pies</t>
        </is>
      </c>
    </row>
    <row r="49">
      <c r="A49" t="inlineStr">
        <is>
          <t>Ported from EN</t>
        </is>
      </c>
      <c r="B49" t="n">
        <v>16</v>
      </c>
      <c r="C49" t="n">
        <v>2.39</v>
      </c>
      <c r="D49" t="inlineStr">
        <is>
          <t>Fishy Chips</t>
        </is>
      </c>
    </row>
    <row r="50">
      <c r="A50" t="inlineStr">
        <is>
          <t>Ported from EN</t>
        </is>
      </c>
      <c r="B50" t="n">
        <v>17</v>
      </c>
      <c r="C50" t="n">
        <v>1.17</v>
      </c>
      <c r="D50" t="inlineStr">
        <is>
          <t>Head Cheesesteak</t>
        </is>
      </c>
    </row>
    <row r="51">
      <c r="A51" t="inlineStr">
        <is>
          <t>Ported from EN</t>
        </is>
      </c>
      <c r="B51" t="n">
        <v>17</v>
      </c>
      <c r="C51" t="n">
        <v>0.86</v>
      </c>
      <c r="D51" t="inlineStr">
        <is>
          <t>Snot Cross Buns</t>
        </is>
      </c>
    </row>
    <row r="52">
      <c r="A52" t="inlineStr">
        <is>
          <t>Ported from EN</t>
        </is>
      </c>
      <c r="B52" t="n">
        <v>18</v>
      </c>
      <c r="C52" t="n">
        <v>10</v>
      </c>
      <c r="D52" t="inlineStr">
        <is>
          <t>Lady Fingers</t>
        </is>
      </c>
    </row>
    <row r="53">
      <c r="A53" t="inlineStr">
        <is>
          <t>Ported from EN</t>
        </is>
      </c>
      <c r="B53" t="n">
        <v>18</v>
      </c>
      <c r="C53" t="n">
        <v>1.98</v>
      </c>
      <c r="D53" t="inlineStr">
        <is>
          <t>Foie Gross</t>
        </is>
      </c>
    </row>
    <row r="54">
      <c r="A54" t="inlineStr">
        <is>
          <t>Ported from EN</t>
        </is>
      </c>
      <c r="B54" t="n">
        <v>19</v>
      </c>
      <c r="C54" t="n">
        <v>0.76</v>
      </c>
      <c r="D54" t="inlineStr">
        <is>
          <t>Escargut</t>
        </is>
      </c>
    </row>
    <row r="55">
      <c r="A55" t="inlineStr">
        <is>
          <t>Ported from EN</t>
        </is>
      </c>
      <c r="B55" t="n">
        <v>19</v>
      </c>
      <c r="C55" t="n">
        <v>5.42</v>
      </c>
      <c r="D55" t="inlineStr">
        <is>
          <t>Stake Tar-Tar</t>
        </is>
      </c>
    </row>
    <row r="56">
      <c r="A56" t="inlineStr">
        <is>
          <t>Ported from EN</t>
        </is>
      </c>
      <c r="B56" t="n">
        <v>19</v>
      </c>
      <c r="C56" t="n">
        <v>2.19</v>
      </c>
      <c r="D56" t="inlineStr">
        <is>
          <t>Blood Shake</t>
        </is>
      </c>
    </row>
    <row r="57">
      <c r="A57" t="inlineStr">
        <is>
          <t>Ported from EN</t>
        </is>
      </c>
      <c r="B57" t="n">
        <v>20</v>
      </c>
      <c r="C57" t="n">
        <v>1.18</v>
      </c>
      <c r="D57" t="inlineStr">
        <is>
          <t>Fileted Minion</t>
        </is>
      </c>
    </row>
    <row r="58">
      <c r="A58" t="inlineStr">
        <is>
          <t>Ported from EN</t>
        </is>
      </c>
      <c r="B58" t="n">
        <v>20</v>
      </c>
      <c r="C58" t="n">
        <v>4.83</v>
      </c>
      <c r="D58" t="inlineStr">
        <is>
          <t>Muscles Sprouts</t>
        </is>
      </c>
    </row>
    <row r="59">
      <c r="A59" t="inlineStr">
        <is>
          <t>Ported from EN</t>
        </is>
      </c>
      <c r="B59" t="n">
        <v>21</v>
      </c>
      <c r="C59" t="n">
        <v>1.5</v>
      </c>
      <c r="D59" t="inlineStr">
        <is>
          <t>Anti Hero Sandwich</t>
        </is>
      </c>
    </row>
    <row r="60">
      <c r="A60" t="inlineStr">
        <is>
          <t>Ported from EN</t>
        </is>
      </c>
      <c r="B60" t="n">
        <v>22</v>
      </c>
      <c r="C60" t="n">
        <v>2</v>
      </c>
      <c r="D60" t="inlineStr">
        <is>
          <t>Brine Shrimp Cocktail</t>
        </is>
      </c>
    </row>
    <row r="61">
      <c r="A61" t="inlineStr">
        <is>
          <t>Ported from EN</t>
        </is>
      </c>
      <c r="B61" t="n">
        <v>24</v>
      </c>
      <c r="C61" t="n">
        <v>3.94</v>
      </c>
      <c r="D61" t="inlineStr">
        <is>
          <t>Net Prawn</t>
        </is>
      </c>
    </row>
    <row r="62">
      <c r="A62" t="inlineStr">
        <is>
          <t>Ported from EN</t>
        </is>
      </c>
      <c r="B62" t="n">
        <v>25</v>
      </c>
      <c r="C62" t="n">
        <v>10</v>
      </c>
      <c r="D62" t="inlineStr">
        <is>
          <t>Mice Pudding</t>
        </is>
      </c>
    </row>
    <row r="63">
      <c r="A63" t="inlineStr">
        <is>
          <t>Ported from EN</t>
        </is>
      </c>
      <c r="B63" t="n">
        <v>26</v>
      </c>
      <c r="C63" t="n">
        <v>7</v>
      </c>
      <c r="D63" t="inlineStr">
        <is>
          <t>Sandwitch</t>
        </is>
      </c>
    </row>
    <row r="64">
      <c r="A64" t="inlineStr">
        <is>
          <t>Ported from EN</t>
        </is>
      </c>
      <c r="B64" t="n">
        <v>27</v>
      </c>
      <c r="C64" t="n">
        <v>1.31</v>
      </c>
      <c r="D64" t="inlineStr">
        <is>
          <t>Fish Fingers</t>
        </is>
      </c>
    </row>
    <row r="65">
      <c r="A65" t="inlineStr">
        <is>
          <t>Ported from EN</t>
        </is>
      </c>
      <c r="B65" t="n">
        <v>28</v>
      </c>
      <c r="C65" t="n">
        <v>4.46</v>
      </c>
      <c r="D65" t="inlineStr">
        <is>
          <t>Cuss-Turd Tart</t>
        </is>
      </c>
    </row>
    <row r="66">
      <c r="A66" t="inlineStr">
        <is>
          <t>Ported from EN</t>
        </is>
      </c>
      <c r="B66" t="n">
        <v>29</v>
      </c>
      <c r="C66" t="n">
        <v>1.32</v>
      </c>
      <c r="D66" t="inlineStr">
        <is>
          <t>Fruit Cake</t>
        </is>
      </c>
    </row>
    <row r="67">
      <c r="A67" t="inlineStr">
        <is>
          <t>EN dish, JP-repriced</t>
        </is>
      </c>
      <c r="B67" t="n">
        <v>3</v>
      </c>
      <c r="C67" t="n">
        <v>1.5</v>
      </c>
      <c r="D67" t="inlineStr">
        <is>
          <t>Heart Dog on a Stake</t>
        </is>
      </c>
    </row>
    <row r="68">
      <c r="A68" t="inlineStr">
        <is>
          <t>EN dish, JP-repriced</t>
        </is>
      </c>
      <c r="B68" t="n">
        <v>3</v>
      </c>
      <c r="C68" t="n">
        <v>5.85</v>
      </c>
      <c r="D68" t="inlineStr">
        <is>
          <t>Super Fruit Punch</t>
        </is>
      </c>
    </row>
    <row r="69">
      <c r="A69" t="inlineStr">
        <is>
          <t>EN dish, JP-repriced</t>
        </is>
      </c>
      <c r="B69" t="n">
        <v>3</v>
      </c>
      <c r="C69" t="n">
        <v>1.15</v>
      </c>
      <c r="D69" t="inlineStr">
        <is>
          <t>Orion Soup</t>
        </is>
      </c>
    </row>
    <row r="70">
      <c r="A70" t="inlineStr">
        <is>
          <t>EN dish, JP-repriced</t>
        </is>
      </c>
      <c r="B70" t="n">
        <v>3</v>
      </c>
      <c r="C70" t="n">
        <v>1.43</v>
      </c>
      <c r="D70" t="inlineStr">
        <is>
          <t>Green Belt Peppers</t>
        </is>
      </c>
    </row>
    <row r="71">
      <c r="A71" t="inlineStr">
        <is>
          <t>EN dish, JP-repriced</t>
        </is>
      </c>
      <c r="B71" t="n">
        <v>3</v>
      </c>
      <c r="C71" t="n">
        <v>1.77</v>
      </c>
      <c r="D71" t="inlineStr">
        <is>
          <t>Reactor Burger</t>
        </is>
      </c>
    </row>
    <row r="72">
      <c r="A72" t="inlineStr">
        <is>
          <t>EN dish, JP-repriced</t>
        </is>
      </c>
      <c r="B72" t="n">
        <v>3</v>
      </c>
      <c r="C72" t="n">
        <v>2.62</v>
      </c>
      <c r="D72" t="inlineStr">
        <is>
          <t>Tropical Coco Brain</t>
        </is>
      </c>
    </row>
    <row r="73">
      <c r="A73" t="inlineStr">
        <is>
          <t>EN dish, JP-repriced</t>
        </is>
      </c>
      <c r="B73" t="n">
        <v>3</v>
      </c>
      <c r="C73" t="n">
        <v>2.38</v>
      </c>
      <c r="D73" t="inlineStr">
        <is>
          <t>Cali Snail Rolls</t>
        </is>
      </c>
    </row>
    <row r="74">
      <c r="A74" t="inlineStr">
        <is>
          <t>EN dish, JP-repriced</t>
        </is>
      </c>
      <c r="B74" t="n">
        <v>3</v>
      </c>
      <c r="C74" t="n">
        <v>2.18</v>
      </c>
      <c r="D74" t="inlineStr">
        <is>
          <t>Croccoli Soup</t>
        </is>
      </c>
    </row>
    <row r="75">
      <c r="A75" t="inlineStr">
        <is>
          <t>EN dish, JP-repriced</t>
        </is>
      </c>
      <c r="B75" t="n">
        <v>4</v>
      </c>
      <c r="C75" t="n">
        <v>4.05</v>
      </c>
      <c r="D75" t="inlineStr">
        <is>
          <t>Brain Washer Soup</t>
        </is>
      </c>
    </row>
    <row r="76">
      <c r="A76" t="inlineStr">
        <is>
          <t>EN dish, JP-repriced</t>
        </is>
      </c>
      <c r="B76" t="n">
        <v>5</v>
      </c>
      <c r="C76" t="n">
        <v>1.56</v>
      </c>
      <c r="D76" t="inlineStr">
        <is>
          <t>Festering Hot Chocolate</t>
        </is>
      </c>
    </row>
    <row r="77">
      <c r="A77" t="inlineStr">
        <is>
          <t>EN dish, JP-repriced</t>
        </is>
      </c>
      <c r="B77" t="n">
        <v>9</v>
      </c>
      <c r="C77" t="n">
        <v>2.07</v>
      </c>
      <c r="D77" t="inlineStr">
        <is>
          <t>Puking Duck</t>
        </is>
      </c>
    </row>
    <row r="78">
      <c r="A78" t="inlineStr">
        <is>
          <t>EN dish, JP-repriced</t>
        </is>
      </c>
      <c r="B78" t="n">
        <v>10</v>
      </c>
      <c r="C78" t="n">
        <v>1.67</v>
      </c>
      <c r="D78" t="inlineStr">
        <is>
          <t>Knuckle Sandwich</t>
        </is>
      </c>
    </row>
    <row r="79">
      <c r="A79" t="inlineStr">
        <is>
          <t>EN dish, JP-repriced</t>
        </is>
      </c>
      <c r="B79" t="n">
        <v>10</v>
      </c>
      <c r="C79" t="n">
        <v>0.58</v>
      </c>
      <c r="D79" t="inlineStr">
        <is>
          <t>Greasy Grizzly</t>
        </is>
      </c>
    </row>
    <row r="80">
      <c r="A80" t="inlineStr">
        <is>
          <t>EN dish, JP-repriced</t>
        </is>
      </c>
      <c r="B80" t="n">
        <v>10</v>
      </c>
      <c r="C80" t="n">
        <v>1.94</v>
      </c>
      <c r="D80" t="inlineStr">
        <is>
          <t>Garlic Choke</t>
        </is>
      </c>
    </row>
    <row r="81">
      <c r="A81" t="inlineStr">
        <is>
          <t>EN dish, JP-repriced</t>
        </is>
      </c>
      <c r="B81" t="n">
        <v>11</v>
      </c>
      <c r="C81" t="n">
        <v>1.33</v>
      </c>
      <c r="D81" t="inlineStr">
        <is>
          <t>Riga Tony</t>
        </is>
      </c>
    </row>
    <row r="82">
      <c r="A82" t="inlineStr">
        <is>
          <t>EN dish, JP-repriced</t>
        </is>
      </c>
      <c r="B82" t="n">
        <v>11</v>
      </c>
      <c r="C82" t="n">
        <v>2.05</v>
      </c>
      <c r="D82" t="inlineStr">
        <is>
          <t>Spiderello</t>
        </is>
      </c>
    </row>
    <row r="83">
      <c r="A83" t="inlineStr">
        <is>
          <t>EN dish, JP-repriced</t>
        </is>
      </c>
      <c r="B83" t="n">
        <v>12</v>
      </c>
      <c r="C83" t="n">
        <v>2.28</v>
      </c>
      <c r="D83" t="inlineStr">
        <is>
          <t>Rabid Rabbit</t>
        </is>
      </c>
    </row>
    <row r="84">
      <c r="A84" t="inlineStr">
        <is>
          <t>EN dish, JP-repriced</t>
        </is>
      </c>
      <c r="B84" t="n">
        <v>12</v>
      </c>
      <c r="C84" t="n">
        <v>0.76</v>
      </c>
      <c r="D84" t="inlineStr">
        <is>
          <t>Nuke Fondue</t>
        </is>
      </c>
    </row>
    <row r="85">
      <c r="A85" t="inlineStr">
        <is>
          <t>EN dish, JP-repriced</t>
        </is>
      </c>
      <c r="B85" t="n">
        <v>13</v>
      </c>
      <c r="C85" t="n">
        <v>6.33</v>
      </c>
      <c r="D85" t="inlineStr">
        <is>
          <t>Gruesome Gruel</t>
        </is>
      </c>
    </row>
    <row r="86">
      <c r="A86" t="inlineStr">
        <is>
          <t>EN dish, JP-repriced</t>
        </is>
      </c>
      <c r="B86" t="n">
        <v>13</v>
      </c>
      <c r="C86" t="n">
        <v>4.44</v>
      </c>
      <c r="D86" t="inlineStr">
        <is>
          <t>Nukes'n Puke</t>
        </is>
      </c>
    </row>
    <row r="87">
      <c r="A87" t="inlineStr">
        <is>
          <t>EN dish, JP-repriced</t>
        </is>
      </c>
      <c r="B87" t="n">
        <v>13</v>
      </c>
      <c r="C87" t="n">
        <v>1.14</v>
      </c>
      <c r="D87" t="inlineStr">
        <is>
          <t>Elephant Toe Jam</t>
        </is>
      </c>
    </row>
    <row r="88">
      <c r="A88" t="inlineStr">
        <is>
          <t>EN dish, JP-repriced</t>
        </is>
      </c>
      <c r="B88" t="n">
        <v>15</v>
      </c>
      <c r="C88" t="n">
        <v>8.42</v>
      </c>
      <c r="D88" t="inlineStr">
        <is>
          <t>Cracked Ribs</t>
        </is>
      </c>
    </row>
    <row r="89">
      <c r="A89" t="inlineStr">
        <is>
          <t>EN dish, JP-repriced</t>
        </is>
      </c>
      <c r="B89" t="n">
        <v>17</v>
      </c>
      <c r="C89" t="n">
        <v>0.58</v>
      </c>
      <c r="D89" t="inlineStr">
        <is>
          <t>Hunch-Back Roast</t>
        </is>
      </c>
    </row>
    <row r="90">
      <c r="A90" t="inlineStr">
        <is>
          <t>EN dish, JP-repriced</t>
        </is>
      </c>
      <c r="B90" t="n">
        <v>17</v>
      </c>
      <c r="C90" t="n">
        <v>2.61</v>
      </c>
      <c r="D90" t="inlineStr">
        <is>
          <t>Wiccan Nuggets</t>
        </is>
      </c>
    </row>
    <row r="91">
      <c r="A91" t="inlineStr">
        <is>
          <t>EN dish, JP-repriced</t>
        </is>
      </c>
      <c r="B91" t="n">
        <v>18</v>
      </c>
      <c r="C91" t="n">
        <v>1.06</v>
      </c>
      <c r="D91" t="inlineStr">
        <is>
          <t>Torn-Up-Cake</t>
        </is>
      </c>
    </row>
    <row r="92">
      <c r="A92" t="inlineStr">
        <is>
          <t>EN dish, JP-repriced</t>
        </is>
      </c>
      <c r="B92" t="n">
        <v>19</v>
      </c>
      <c r="C92" t="n">
        <v>1.91</v>
      </c>
      <c r="D92" t="inlineStr">
        <is>
          <t>Bleeding Hearts</t>
        </is>
      </c>
    </row>
    <row r="93">
      <c r="A93" t="inlineStr">
        <is>
          <t>EN dish, JP-repriced</t>
        </is>
      </c>
      <c r="B93" t="n">
        <v>21</v>
      </c>
      <c r="C93" t="n">
        <v>1.45</v>
      </c>
      <c r="D93" t="inlineStr">
        <is>
          <t>Verminestroni</t>
        </is>
      </c>
    </row>
    <row r="94">
      <c r="A94" t="inlineStr">
        <is>
          <t>EN dish, JP-repriced</t>
        </is>
      </c>
      <c r="B94" t="n">
        <v>21</v>
      </c>
      <c r="C94" t="n">
        <v>2</v>
      </c>
      <c r="D94" t="inlineStr">
        <is>
          <t>Voodoo Fondue</t>
        </is>
      </c>
    </row>
    <row r="95">
      <c r="A95" t="inlineStr">
        <is>
          <t>EN dish, JP-repriced</t>
        </is>
      </c>
      <c r="B95" t="n">
        <v>23</v>
      </c>
      <c r="C95" t="n">
        <v>0.9399999999999999</v>
      </c>
      <c r="D95" t="inlineStr">
        <is>
          <t>Fried Snakeroll</t>
        </is>
      </c>
    </row>
    <row r="96">
      <c r="A96" t="inlineStr">
        <is>
          <t>EN dish, JP-repriced</t>
        </is>
      </c>
      <c r="B96" t="n">
        <v>24</v>
      </c>
      <c r="C96" t="n">
        <v>3.83</v>
      </c>
      <c r="D96" t="inlineStr">
        <is>
          <t>Bangers &amp; Mush</t>
        </is>
      </c>
    </row>
    <row r="97">
      <c r="A97" t="inlineStr">
        <is>
          <t>EN dish, JP-repriced</t>
        </is>
      </c>
      <c r="B97" t="n">
        <v>24</v>
      </c>
      <c r="C97" t="n">
        <v>1.5</v>
      </c>
      <c r="D97" t="inlineStr">
        <is>
          <t>Eyestir Sauce Noodles</t>
        </is>
      </c>
    </row>
    <row r="98">
      <c r="A98" t="inlineStr">
        <is>
          <t>EN dish, JP-repriced</t>
        </is>
      </c>
      <c r="B98" t="n">
        <v>25</v>
      </c>
      <c r="C98" t="n">
        <v>2.57</v>
      </c>
      <c r="D98" t="inlineStr">
        <is>
          <t>Fetid Djinni</t>
        </is>
      </c>
    </row>
    <row r="99">
      <c r="A99" t="inlineStr">
        <is>
          <t>EN dish, JP-repriced</t>
        </is>
      </c>
      <c r="B99" t="n">
        <v>25</v>
      </c>
      <c r="C99" t="n">
        <v>3.8</v>
      </c>
      <c r="D99" t="inlineStr">
        <is>
          <t>Leech Melba</t>
        </is>
      </c>
    </row>
    <row r="100">
      <c r="A100" t="inlineStr">
        <is>
          <t>EN dish, JP-repriced</t>
        </is>
      </c>
      <c r="B100" t="n">
        <v>26</v>
      </c>
      <c r="C100" t="n">
        <v>0.46</v>
      </c>
      <c r="D100" t="inlineStr">
        <is>
          <t>Garden Gnome Salad</t>
        </is>
      </c>
    </row>
    <row r="101">
      <c r="A101" t="inlineStr">
        <is>
          <t>EN dish, JP-repriced</t>
        </is>
      </c>
      <c r="B101" t="n">
        <v>27</v>
      </c>
      <c r="C101" t="n">
        <v>6.25</v>
      </c>
      <c r="D101" t="inlineStr">
        <is>
          <t>Bread &amp; Brains Spread</t>
        </is>
      </c>
    </row>
    <row r="102">
      <c r="A102" t="inlineStr">
        <is>
          <t>EN dish, JP-repriced</t>
        </is>
      </c>
      <c r="B102" t="n">
        <v>29</v>
      </c>
      <c r="C102" t="n">
        <v>2.19</v>
      </c>
      <c r="D102" t="inlineStr">
        <is>
          <t>Crimonade Can</t>
        </is>
      </c>
    </row>
    <row r="103">
      <c r="A103" t="inlineStr">
        <is>
          <t>EN dish, JP-repriced</t>
        </is>
      </c>
      <c r="B103" t="n">
        <v>30</v>
      </c>
      <c r="C103" t="n">
        <v>0.71</v>
      </c>
      <c r="D103" t="inlineStr">
        <is>
          <t>Leg Rolls</t>
        </is>
      </c>
    </row>
    <row r="104">
      <c r="A104" t="inlineStr">
        <is>
          <t>EN dish, JP-repriced</t>
        </is>
      </c>
      <c r="B104" t="n">
        <v>30</v>
      </c>
      <c r="C104" t="n">
        <v>2.81</v>
      </c>
      <c r="D104" t="inlineStr">
        <is>
          <t>Druid's Juice</t>
        </is>
      </c>
    </row>
    <row r="105">
      <c r="A105" t="inlineStr">
        <is>
          <t>EN dish, JP-repriced</t>
        </is>
      </c>
      <c r="B105" t="n">
        <v>30</v>
      </c>
      <c r="C105" t="n">
        <v>2.9</v>
      </c>
      <c r="D105" t="inlineStr">
        <is>
          <t>Orc Steak</t>
        </is>
      </c>
    </row>
    <row r="106">
      <c r="A106" t="inlineStr">
        <is>
          <t>EN dish, JP-repriced</t>
        </is>
      </c>
      <c r="B106" t="n">
        <v>31</v>
      </c>
      <c r="C106" t="n">
        <v>1.02</v>
      </c>
      <c r="D106" t="inlineStr">
        <is>
          <t>Roe Boat</t>
        </is>
      </c>
    </row>
    <row r="107">
      <c r="A107" t="inlineStr">
        <is>
          <t>EN dish, JP-repriced</t>
        </is>
      </c>
      <c r="B107" t="n">
        <v>31</v>
      </c>
      <c r="C107" t="n">
        <v>1.36</v>
      </c>
      <c r="D107" t="inlineStr">
        <is>
          <t>Mandragora Dip</t>
        </is>
      </c>
    </row>
    <row r="108">
      <c r="A108" t="inlineStr">
        <is>
          <t>EN dish, JP-repriced</t>
        </is>
      </c>
      <c r="B108" t="n">
        <v>32</v>
      </c>
      <c r="C108" t="n">
        <v>0.71</v>
      </c>
      <c r="D108" t="inlineStr">
        <is>
          <t>Lion's Head Meatballs</t>
        </is>
      </c>
    </row>
    <row r="109">
      <c r="A109" t="inlineStr">
        <is>
          <t>EN dish, JP-repriced</t>
        </is>
      </c>
      <c r="B109" t="n">
        <v>32</v>
      </c>
      <c r="C109" t="n">
        <v>2.78</v>
      </c>
      <c r="D109" t="inlineStr">
        <is>
          <t>Hydrapanic Salad</t>
        </is>
      </c>
    </row>
    <row r="110">
      <c r="A110" t="inlineStr">
        <is>
          <t>EN dish, JP-repriced</t>
        </is>
      </c>
      <c r="B110" t="n">
        <v>32</v>
      </c>
      <c r="C110" t="n">
        <v>2.77</v>
      </c>
      <c r="D110" t="inlineStr">
        <is>
          <t>Eyeberry Jelly</t>
        </is>
      </c>
    </row>
    <row r="111">
      <c r="A111" t="inlineStr">
        <is>
          <t>EN dish, JP-repriced</t>
        </is>
      </c>
      <c r="B111" t="n">
        <v>33</v>
      </c>
      <c r="C111" t="n">
        <v>1.75</v>
      </c>
      <c r="D111" t="inlineStr">
        <is>
          <t>Ghoul Cheese Pizza</t>
        </is>
      </c>
    </row>
    <row r="112">
      <c r="A112" t="inlineStr">
        <is>
          <t>EN dish, JP-repriced</t>
        </is>
      </c>
      <c r="B112" t="n">
        <v>34</v>
      </c>
      <c r="C112" t="n">
        <v>4.47</v>
      </c>
      <c r="D112" t="inlineStr">
        <is>
          <t>Ape-a-Teaser</t>
        </is>
      </c>
    </row>
    <row r="113">
      <c r="A113" t="inlineStr">
        <is>
          <t>EN dish, JP-repriced</t>
        </is>
      </c>
      <c r="B113" t="n">
        <v>34</v>
      </c>
      <c r="C113" t="n">
        <v>5</v>
      </c>
      <c r="D113" t="inlineStr">
        <is>
          <t>Shark Tooth Dullers</t>
        </is>
      </c>
    </row>
    <row r="114">
      <c r="A114" t="inlineStr">
        <is>
          <t>EN dish, JP-repriced</t>
        </is>
      </c>
      <c r="B114" t="n">
        <v>35</v>
      </c>
      <c r="C114" t="n">
        <v>2.1</v>
      </c>
      <c r="D114" t="inlineStr">
        <is>
          <t>Leperoni Pizza</t>
        </is>
      </c>
    </row>
    <row r="115">
      <c r="A115" t="inlineStr">
        <is>
          <t>EN dish, JP-repriced</t>
        </is>
      </c>
      <c r="B115" t="n">
        <v>36</v>
      </c>
      <c r="C115" t="n">
        <v>2.65</v>
      </c>
      <c r="D115" t="inlineStr">
        <is>
          <t>Meatish Sweetballs</t>
        </is>
      </c>
    </row>
    <row r="116">
      <c r="A116" t="inlineStr">
        <is>
          <t>EN dish, JP-repriced</t>
        </is>
      </c>
      <c r="B116" t="n">
        <v>36</v>
      </c>
      <c r="C116" t="n">
        <v>1.39</v>
      </c>
      <c r="D116" t="inlineStr">
        <is>
          <t>Killer Squid</t>
        </is>
      </c>
    </row>
    <row r="117">
      <c r="A117" t="inlineStr">
        <is>
          <t>EN dish, JP-repriced</t>
        </is>
      </c>
      <c r="B117" t="n">
        <v>37</v>
      </c>
      <c r="C117" t="n">
        <v>10</v>
      </c>
      <c r="D117" t="inlineStr">
        <is>
          <t>Beetle in Beetroot Sauce</t>
        </is>
      </c>
    </row>
    <row r="118">
      <c r="A118" t="inlineStr">
        <is>
          <t>EN dish, JP-repriced</t>
        </is>
      </c>
      <c r="B118" t="n">
        <v>37</v>
      </c>
      <c r="C118" t="n">
        <v>2.45</v>
      </c>
      <c r="D118" t="inlineStr">
        <is>
          <t>Helm &amp; Cheese</t>
        </is>
      </c>
    </row>
    <row r="119">
      <c r="A119" t="inlineStr">
        <is>
          <t>EN dish, JP-repriced</t>
        </is>
      </c>
      <c r="B119" t="n">
        <v>37</v>
      </c>
      <c r="C119" t="n">
        <v>3.08</v>
      </c>
      <c r="D119" t="inlineStr">
        <is>
          <t>Snake-Snacks</t>
        </is>
      </c>
    </row>
    <row r="120">
      <c r="A120" t="inlineStr">
        <is>
          <t>EN dish, JP-repriced</t>
        </is>
      </c>
      <c r="B120" t="n">
        <v>38</v>
      </c>
      <c r="C120" t="n">
        <v>0.82</v>
      </c>
      <c r="D120" t="inlineStr">
        <is>
          <t>Jumble Eye-ah</t>
        </is>
      </c>
    </row>
    <row r="121">
      <c r="A121" t="inlineStr">
        <is>
          <t>EN dish, JP-repriced</t>
        </is>
      </c>
      <c r="B121" t="n">
        <v>39</v>
      </c>
      <c r="C121" t="n">
        <v>1.99</v>
      </c>
      <c r="D121" t="inlineStr">
        <is>
          <t>Unicorn Chowder</t>
        </is>
      </c>
    </row>
    <row r="122">
      <c r="A122" t="inlineStr">
        <is>
          <t>EN dish, JP-repriced</t>
        </is>
      </c>
      <c r="B122" t="n">
        <v>40</v>
      </c>
      <c r="C122" t="n">
        <v>0.98</v>
      </c>
      <c r="D122" t="inlineStr">
        <is>
          <t>Dragon Soup</t>
        </is>
      </c>
    </row>
    <row r="123">
      <c r="A123" t="inlineStr">
        <is>
          <t>EN dish, JP-repriced</t>
        </is>
      </c>
      <c r="B123" t="n">
        <v>40</v>
      </c>
      <c r="C123" t="n">
        <v>1.62</v>
      </c>
      <c r="D123" t="inlineStr">
        <is>
          <t>Oyster Pearls</t>
        </is>
      </c>
    </row>
    <row r="124">
      <c r="A124" t="inlineStr">
        <is>
          <t>EN dish, JP-repriced</t>
        </is>
      </c>
      <c r="B124" t="n">
        <v>41</v>
      </c>
      <c r="C124" t="n">
        <v>0.98</v>
      </c>
      <c r="D124" t="inlineStr">
        <is>
          <t>Holy Gauntlet Pottage</t>
        </is>
      </c>
    </row>
    <row r="125">
      <c r="A125" t="inlineStr">
        <is>
          <t>EN dish, JP-repriced</t>
        </is>
      </c>
      <c r="B125" t="n">
        <v>42</v>
      </c>
      <c r="C125" t="n">
        <v>2.06</v>
      </c>
      <c r="D125" t="inlineStr">
        <is>
          <t>Red Dragon</t>
        </is>
      </c>
    </row>
    <row r="126">
      <c r="A126" t="inlineStr">
        <is>
          <t>EN dish, JP-repriced</t>
        </is>
      </c>
      <c r="B126" t="n">
        <v>43</v>
      </c>
      <c r="C126" t="n">
        <v>1.57</v>
      </c>
      <c r="D126" t="inlineStr">
        <is>
          <t>Plundered Blowfish</t>
        </is>
      </c>
    </row>
    <row r="127">
      <c r="A127" t="inlineStr">
        <is>
          <t>EN dish, JP-repriced</t>
        </is>
      </c>
      <c r="B127" t="n">
        <v>44</v>
      </c>
      <c r="C127" t="n">
        <v>10</v>
      </c>
      <c r="D127" t="inlineStr">
        <is>
          <t>Jelly Roger Custard</t>
        </is>
      </c>
    </row>
    <row r="128">
      <c r="A128" t="inlineStr">
        <is>
          <t>EN dish, JP-repriced</t>
        </is>
      </c>
      <c r="B128" t="n">
        <v>45</v>
      </c>
      <c r="C128" t="n">
        <v>1.42</v>
      </c>
      <c r="D128" t="inlineStr">
        <is>
          <t>Molar Breakers</t>
        </is>
      </c>
    </row>
    <row r="129">
      <c r="A129" t="inlineStr">
        <is>
          <t>EN dish, JP-repriced</t>
        </is>
      </c>
      <c r="B129" t="n">
        <v>46</v>
      </c>
      <c r="C129" t="n">
        <v>3.68</v>
      </c>
      <c r="D129" t="inlineStr">
        <is>
          <t>Vampire Ash Browns</t>
        </is>
      </c>
    </row>
    <row r="130">
      <c r="A130" t="inlineStr">
        <is>
          <t>EN dish, JP-repriced</t>
        </is>
      </c>
      <c r="B130" t="n">
        <v>47</v>
      </c>
      <c r="C130" t="n">
        <v>2.26</v>
      </c>
      <c r="D130" t="inlineStr">
        <is>
          <t>Staked Steak</t>
        </is>
      </c>
    </row>
    <row r="131">
      <c r="A131" t="inlineStr">
        <is>
          <t>EN dish, JP-repriced</t>
        </is>
      </c>
      <c r="B131" t="n">
        <v>48</v>
      </c>
      <c r="C131" t="n">
        <v>1.15</v>
      </c>
      <c r="D131" t="inlineStr">
        <is>
          <t>Nosfera-Stew</t>
        </is>
      </c>
    </row>
    <row r="132">
      <c r="A132" t="inlineStr">
        <is>
          <t>EN dish, JP-repriced</t>
        </is>
      </c>
      <c r="B132" t="n">
        <v>49</v>
      </c>
      <c r="C132" t="n">
        <v>0.79</v>
      </c>
      <c r="D132" t="inlineStr">
        <is>
          <t>Bat BQ</t>
        </is>
      </c>
    </row>
    <row r="133">
      <c r="A133" t="inlineStr">
        <is>
          <t>EN dish, JP-repriced</t>
        </is>
      </c>
      <c r="B133" t="n">
        <v>50</v>
      </c>
      <c r="C133" t="n">
        <v>3.22</v>
      </c>
      <c r="D133" t="inlineStr">
        <is>
          <t>Crypt Cake</t>
        </is>
      </c>
    </row>
    <row r="134">
      <c r="A134" t="inlineStr">
        <is>
          <t>EN dish, JP-repriced</t>
        </is>
      </c>
      <c r="B134" t="n">
        <v>51</v>
      </c>
      <c r="C134" t="n">
        <v>1.25</v>
      </c>
      <c r="D134" t="inlineStr">
        <is>
          <t>Crucy Fries</t>
        </is>
      </c>
    </row>
    <row r="135">
      <c r="A135" t="inlineStr">
        <is>
          <t>EN dish, JP-repriced</t>
        </is>
      </c>
      <c r="B135" t="n">
        <v>52</v>
      </c>
      <c r="C135" t="n">
        <v>10</v>
      </c>
      <c r="D135" t="inlineStr">
        <is>
          <t>Eye Pop Candy</t>
        </is>
      </c>
    </row>
    <row r="136">
      <c r="A136" t="inlineStr">
        <is>
          <t>EN dish, JP-repriced</t>
        </is>
      </c>
      <c r="B136" t="n">
        <v>53</v>
      </c>
      <c r="C136" t="n">
        <v>5</v>
      </c>
      <c r="D136" t="inlineStr">
        <is>
          <t>Fish Bones &amp; Gold Chips</t>
        </is>
      </c>
    </row>
    <row r="137">
      <c r="A137" t="inlineStr">
        <is>
          <t>EN dish, JP-repriced</t>
        </is>
      </c>
      <c r="B137" t="n">
        <v>54</v>
      </c>
      <c r="C137" t="n">
        <v>10</v>
      </c>
      <c r="D137" t="inlineStr">
        <is>
          <t>Chili Chili Bang Bang</t>
        </is>
      </c>
    </row>
    <row r="138">
      <c r="A138" t="inlineStr">
        <is>
          <t>EN dish, JP-repriced</t>
        </is>
      </c>
      <c r="B138" t="n">
        <v>55</v>
      </c>
      <c r="C138" t="n">
        <v>1.77</v>
      </c>
      <c r="D138" t="inlineStr">
        <is>
          <t>Fireball Spaghetti</t>
        </is>
      </c>
    </row>
    <row r="139">
      <c r="A139" t="inlineStr">
        <is>
          <t>EN dish, JP-repriced</t>
        </is>
      </c>
      <c r="B139" t="n">
        <v>56</v>
      </c>
      <c r="C139" t="n">
        <v>2.34</v>
      </c>
      <c r="D139" t="inlineStr">
        <is>
          <t>Zap Bar</t>
        </is>
      </c>
    </row>
    <row r="140">
      <c r="A140" t="inlineStr">
        <is>
          <t>EN dish, JP-repriced</t>
        </is>
      </c>
      <c r="B140" t="n">
        <v>57</v>
      </c>
      <c r="C140" t="n">
        <v>4.58</v>
      </c>
      <c r="D140" t="inlineStr">
        <is>
          <t>Dracooler</t>
        </is>
      </c>
    </row>
    <row r="141">
      <c r="A141" t="inlineStr">
        <is>
          <t>JP-only</t>
        </is>
      </c>
      <c r="B141" t="n">
        <v>4</v>
      </c>
      <c r="C141" t="n">
        <v>3.14</v>
      </c>
      <c r="D141" t="inlineStr">
        <is>
          <t>Super Fruit Punch</t>
        </is>
      </c>
    </row>
    <row r="142">
      <c r="A142" t="inlineStr">
        <is>
          <t>JP-only</t>
        </is>
      </c>
      <c r="B142" t="n">
        <v>4</v>
      </c>
      <c r="C142" t="n">
        <v>4.77</v>
      </c>
      <c r="D142" t="inlineStr">
        <is>
          <t>3rd Anniversary Bento</t>
        </is>
      </c>
    </row>
    <row r="143">
      <c r="A143" t="inlineStr">
        <is>
          <t>JP-only</t>
        </is>
      </c>
      <c r="B143" t="n">
        <v>4</v>
      </c>
      <c r="C143" t="n">
        <v>4.59</v>
      </c>
      <c r="D143" t="inlineStr">
        <is>
          <t>4th Anniversary Chirashi Sushi</t>
        </is>
      </c>
    </row>
    <row r="144">
      <c r="A144" t="inlineStr">
        <is>
          <t>JP-only</t>
        </is>
      </c>
      <c r="B144" t="n">
        <v>4</v>
      </c>
      <c r="C144" t="n">
        <v>2.92</v>
      </c>
      <c r="D144" t="inlineStr">
        <is>
          <t>Zombie Bun</t>
        </is>
      </c>
    </row>
    <row r="145">
      <c r="A145" t="inlineStr">
        <is>
          <t>JP-only</t>
        </is>
      </c>
      <c r="B145" t="n">
        <v>5</v>
      </c>
      <c r="C145" t="n">
        <v>3.6</v>
      </c>
      <c r="D145" t="inlineStr">
        <is>
          <t>Orc Steak</t>
        </is>
      </c>
    </row>
    <row r="146">
      <c r="A146" t="inlineStr">
        <is>
          <t>JP-only</t>
        </is>
      </c>
      <c r="B146" t="n">
        <v>6</v>
      </c>
      <c r="C146" t="n">
        <v>3.39</v>
      </c>
      <c r="D146" t="inlineStr">
        <is>
          <t>Squirmy Maggot Ice</t>
        </is>
      </c>
    </row>
    <row r="147">
      <c r="A147" t="inlineStr">
        <is>
          <t>JP-only</t>
        </is>
      </c>
      <c r="B147" t="n">
        <v>6</v>
      </c>
      <c r="C147" t="n">
        <v>1.89</v>
      </c>
      <c r="D147" t="inlineStr">
        <is>
          <t>Sketchy Somen</t>
        </is>
      </c>
    </row>
    <row r="148">
      <c r="A148" t="inlineStr">
        <is>
          <t>JP-only</t>
        </is>
      </c>
      <c r="B148" t="n">
        <v>6</v>
      </c>
      <c r="C148" t="n">
        <v>3.42</v>
      </c>
      <c r="D148" t="inlineStr">
        <is>
          <t>Biting Bigfoot Bun</t>
        </is>
      </c>
    </row>
    <row r="149">
      <c r="A149" t="inlineStr">
        <is>
          <t>JP-only</t>
        </is>
      </c>
      <c r="B149" t="n">
        <v>7</v>
      </c>
      <c r="C149" t="n">
        <v>3.45</v>
      </c>
      <c r="D149" t="inlineStr">
        <is>
          <t>Moldy Mirror Mochi</t>
        </is>
      </c>
    </row>
    <row r="150">
      <c r="A150" t="inlineStr">
        <is>
          <t>JP-only</t>
        </is>
      </c>
      <c r="B150" t="n">
        <v>8</v>
      </c>
      <c r="C150" t="n">
        <v>5.42</v>
      </c>
      <c r="D150" t="inlineStr">
        <is>
          <t>Bamboo Brain Juice</t>
        </is>
      </c>
    </row>
    <row r="151">
      <c r="A151" t="inlineStr">
        <is>
          <t>JP-only</t>
        </is>
      </c>
      <c r="B151" t="n">
        <v>8</v>
      </c>
      <c r="C151" t="n">
        <v>9.17</v>
      </c>
      <c r="D151" t="inlineStr">
        <is>
          <t>Mega-Heap Bento</t>
        </is>
      </c>
    </row>
    <row r="152">
      <c r="A152" t="inlineStr">
        <is>
          <t>JP-only</t>
        </is>
      </c>
      <c r="B152" t="n">
        <v>8</v>
      </c>
      <c r="C152" t="n">
        <v>6.08</v>
      </c>
      <c r="D152" t="inlineStr">
        <is>
          <t>SSS Pizza</t>
        </is>
      </c>
    </row>
    <row r="153">
      <c r="A153" t="inlineStr">
        <is>
          <t>JP-only</t>
        </is>
      </c>
      <c r="B153" t="n">
        <v>8</v>
      </c>
      <c r="C153" t="n">
        <v>4.08</v>
      </c>
      <c r="D153" t="inlineStr">
        <is>
          <t>Vampire Stew</t>
        </is>
      </c>
    </row>
    <row r="154">
      <c r="A154" t="inlineStr">
        <is>
          <t>JP-only</t>
        </is>
      </c>
      <c r="B154" t="n">
        <v>9</v>
      </c>
      <c r="C154" t="n">
        <v>7.67</v>
      </c>
      <c r="D154" t="inlineStr">
        <is>
          <t>Ice Calavera</t>
        </is>
      </c>
    </row>
    <row r="155">
      <c r="A155" t="inlineStr">
        <is>
          <t>JP-only</t>
        </is>
      </c>
      <c r="B155" t="n">
        <v>9</v>
      </c>
      <c r="C155" t="n">
        <v>3.57</v>
      </c>
      <c r="D155" t="inlineStr">
        <is>
          <t>Vampire Burger</t>
        </is>
      </c>
    </row>
    <row r="156">
      <c r="A156" t="inlineStr">
        <is>
          <t>JP-only</t>
        </is>
      </c>
      <c r="B156" t="n">
        <v>9</v>
      </c>
      <c r="C156" t="n">
        <v>5</v>
      </c>
      <c r="D156" t="inlineStr">
        <is>
          <t>Nose Gelee</t>
        </is>
      </c>
    </row>
    <row r="157">
      <c r="A157" t="inlineStr">
        <is>
          <t>JP-only</t>
        </is>
      </c>
      <c r="B157" t="n">
        <v>10</v>
      </c>
      <c r="C157" t="n">
        <v>2.67</v>
      </c>
      <c r="D157" t="inlineStr">
        <is>
          <t>Fake Tea Jelly</t>
        </is>
      </c>
    </row>
    <row r="158">
      <c r="A158" t="inlineStr">
        <is>
          <t>JP-only</t>
        </is>
      </c>
      <c r="B158" t="n">
        <v>10</v>
      </c>
      <c r="C158" t="n">
        <v>4.2</v>
      </c>
      <c r="D158" t="inlineStr">
        <is>
          <t>Red God Chili Pepper</t>
        </is>
      </c>
    </row>
    <row r="159">
      <c r="A159" t="inlineStr">
        <is>
          <t>JP-only</t>
        </is>
      </c>
      <c r="B159" t="n">
        <v>10</v>
      </c>
      <c r="C159" t="n">
        <v>10</v>
      </c>
      <c r="D159" t="inlineStr">
        <is>
          <t>Eyeball Yakisoba</t>
        </is>
      </c>
    </row>
    <row r="160">
      <c r="A160" t="inlineStr">
        <is>
          <t>JP-only</t>
        </is>
      </c>
      <c r="B160" t="n">
        <v>10</v>
      </c>
      <c r="C160" t="n">
        <v>4.11</v>
      </c>
      <c r="D160" t="inlineStr">
        <is>
          <t>Chilly Melon</t>
        </is>
      </c>
    </row>
    <row r="161">
      <c r="A161" t="inlineStr">
        <is>
          <t>JP-only</t>
        </is>
      </c>
      <c r="B161" t="n">
        <v>10</v>
      </c>
      <c r="C161" t="n">
        <v>2.87</v>
      </c>
      <c r="D161" t="inlineStr">
        <is>
          <t>Suspicious E-Tank Soup</t>
        </is>
      </c>
    </row>
    <row r="162">
      <c r="A162" t="inlineStr">
        <is>
          <t>JP-only</t>
        </is>
      </c>
      <c r="B162" t="n">
        <v>10</v>
      </c>
      <c r="C162" t="n">
        <v>5</v>
      </c>
      <c r="D162" t="inlineStr">
        <is>
          <t>Hsien-Ko's Tenraiha Salad</t>
        </is>
      </c>
    </row>
    <row r="163">
      <c r="A163" t="inlineStr">
        <is>
          <t>JP-only</t>
        </is>
      </c>
      <c r="B163" t="n">
        <v>10</v>
      </c>
      <c r="C163" t="n">
        <v>0.79</v>
      </c>
      <c r="D163" t="inlineStr">
        <is>
          <t>Panda Cocktail</t>
        </is>
      </c>
    </row>
    <row r="164">
      <c r="A164" t="inlineStr">
        <is>
          <t>JP-only</t>
        </is>
      </c>
      <c r="B164" t="n">
        <v>11</v>
      </c>
      <c r="C164" t="n">
        <v>3.27</v>
      </c>
      <c r="D164" t="inlineStr">
        <is>
          <t>White Bread Man</t>
        </is>
      </c>
    </row>
    <row r="165">
      <c r="A165" t="inlineStr">
        <is>
          <t>JP-only</t>
        </is>
      </c>
      <c r="B165" t="n">
        <v>11</v>
      </c>
      <c r="C165" t="n">
        <v>1.3</v>
      </c>
      <c r="D165" t="inlineStr">
        <is>
          <t>Roast Bionic Pigeon</t>
        </is>
      </c>
    </row>
    <row r="166">
      <c r="A166" t="inlineStr">
        <is>
          <t>JP-only</t>
        </is>
      </c>
      <c r="B166" t="n">
        <v>11</v>
      </c>
      <c r="C166" t="n">
        <v>3.52</v>
      </c>
      <c r="D166" t="inlineStr">
        <is>
          <t>Suzaku Soup Curry</t>
        </is>
      </c>
    </row>
    <row r="167">
      <c r="A167" t="inlineStr">
        <is>
          <t>JP-only</t>
        </is>
      </c>
      <c r="B167" t="n">
        <v>12</v>
      </c>
      <c r="C167" t="n">
        <v>10</v>
      </c>
      <c r="D167" t="inlineStr">
        <is>
          <t>Stuffed Bat</t>
        </is>
      </c>
    </row>
    <row r="168">
      <c r="A168" t="inlineStr">
        <is>
          <t>JP-only</t>
        </is>
      </c>
      <c r="B168" t="n">
        <v>12</v>
      </c>
      <c r="C168" t="n">
        <v>5.72</v>
      </c>
      <c r="D168" t="inlineStr">
        <is>
          <t>Donkey Dog</t>
        </is>
      </c>
    </row>
    <row r="169">
      <c r="A169" t="inlineStr">
        <is>
          <t>JP-only</t>
        </is>
      </c>
      <c r="B169" t="n">
        <v>12</v>
      </c>
      <c r="C169" t="n">
        <v>2.04</v>
      </c>
      <c r="D169" t="inlineStr">
        <is>
          <t>Blood Juice</t>
        </is>
      </c>
    </row>
    <row r="170">
      <c r="A170" t="inlineStr">
        <is>
          <t>JP-only</t>
        </is>
      </c>
      <c r="B170" t="n">
        <v>12</v>
      </c>
      <c r="C170" t="n">
        <v>0.46</v>
      </c>
      <c r="D170" t="inlineStr">
        <is>
          <t>Rockman Bun</t>
        </is>
      </c>
    </row>
    <row r="171">
      <c r="A171" t="inlineStr">
        <is>
          <t>JP-only</t>
        </is>
      </c>
      <c r="B171" t="n">
        <v>12</v>
      </c>
      <c r="C171" t="n">
        <v>0.72</v>
      </c>
      <c r="D171" t="inlineStr">
        <is>
          <t>Zero Bun</t>
        </is>
      </c>
    </row>
    <row r="172">
      <c r="A172" t="inlineStr">
        <is>
          <t>JP-only</t>
        </is>
      </c>
      <c r="B172" t="n">
        <v>13</v>
      </c>
      <c r="C172" t="n">
        <v>1.5</v>
      </c>
      <c r="D172" t="inlineStr">
        <is>
          <t>Almond Jelly Pearls</t>
        </is>
      </c>
    </row>
    <row r="173">
      <c r="A173" t="inlineStr">
        <is>
          <t>JP-only</t>
        </is>
      </c>
      <c r="B173" t="n">
        <v>13</v>
      </c>
      <c r="C173" t="n">
        <v>1.21</v>
      </c>
      <c r="D173" t="inlineStr">
        <is>
          <t>Arthur Steak</t>
        </is>
      </c>
    </row>
    <row r="174">
      <c r="A174" t="inlineStr">
        <is>
          <t>JP-only</t>
        </is>
      </c>
      <c r="B174" t="n">
        <v>13</v>
      </c>
      <c r="C174" t="n">
        <v>10</v>
      </c>
      <c r="D174" t="inlineStr">
        <is>
          <t>Tropical Brain Juice</t>
        </is>
      </c>
    </row>
    <row r="175">
      <c r="A175" t="inlineStr">
        <is>
          <t>JP-only</t>
        </is>
      </c>
      <c r="B175" t="n">
        <v>13</v>
      </c>
      <c r="C175" t="n">
        <v>1.52</v>
      </c>
      <c r="D175" t="inlineStr">
        <is>
          <t>Deep-Sea Fish on Ice</t>
        </is>
      </c>
    </row>
    <row r="176">
      <c r="A176" t="inlineStr">
        <is>
          <t>JP-only</t>
        </is>
      </c>
      <c r="B176" t="n">
        <v>14</v>
      </c>
      <c r="C176" t="n">
        <v>1.78</v>
      </c>
      <c r="D176" t="inlineStr">
        <is>
          <t>Giant Silkworm Spring Roll</t>
        </is>
      </c>
    </row>
    <row r="177">
      <c r="A177" t="inlineStr">
        <is>
          <t>JP-only</t>
        </is>
      </c>
      <c r="B177" t="n">
        <v>14</v>
      </c>
      <c r="C177" t="n">
        <v>2.59</v>
      </c>
      <c r="D177" t="inlineStr">
        <is>
          <t>Fish &amp; Coins</t>
        </is>
      </c>
    </row>
    <row r="178">
      <c r="A178" t="inlineStr">
        <is>
          <t>JP-only</t>
        </is>
      </c>
      <c r="B178" t="n">
        <v>14</v>
      </c>
      <c r="C178" t="n">
        <v>1.46</v>
      </c>
      <c r="D178" t="inlineStr">
        <is>
          <t>Used-Smell Curry</t>
        </is>
      </c>
    </row>
    <row r="179">
      <c r="A179" t="inlineStr">
        <is>
          <t>JP-only</t>
        </is>
      </c>
      <c r="B179" t="n">
        <v>14</v>
      </c>
      <c r="C179" t="n">
        <v>4.89</v>
      </c>
      <c r="D179" t="inlineStr">
        <is>
          <t>Eyeball Dango</t>
        </is>
      </c>
    </row>
    <row r="180">
      <c r="A180" t="inlineStr">
        <is>
          <t>JP-only</t>
        </is>
      </c>
      <c r="B180" t="n">
        <v>15</v>
      </c>
      <c r="C180" t="n">
        <v>4.62</v>
      </c>
      <c r="D180" t="inlineStr">
        <is>
          <t>Arthur Tongue with Salt</t>
        </is>
      </c>
    </row>
    <row r="181">
      <c r="A181" t="inlineStr">
        <is>
          <t>JP-only</t>
        </is>
      </c>
      <c r="B181" t="n">
        <v>15</v>
      </c>
      <c r="C181" t="n">
        <v>3.06</v>
      </c>
      <c r="D181" t="inlineStr">
        <is>
          <t>Santa Claws</t>
        </is>
      </c>
    </row>
    <row r="182">
      <c r="A182" t="inlineStr">
        <is>
          <t>JP-only</t>
        </is>
      </c>
      <c r="B182" t="n">
        <v>16</v>
      </c>
      <c r="C182" t="n">
        <v>1.51</v>
      </c>
      <c r="D182" t="inlineStr">
        <is>
          <t>Meat with Beetroot</t>
        </is>
      </c>
    </row>
    <row r="183">
      <c r="A183" t="inlineStr">
        <is>
          <t>JP-only</t>
        </is>
      </c>
      <c r="B183" t="n">
        <v>16</v>
      </c>
      <c r="C183" t="n">
        <v>2.32</v>
      </c>
      <c r="D183" t="inlineStr">
        <is>
          <t>Oil Stew</t>
        </is>
      </c>
    </row>
    <row r="184">
      <c r="A184" t="inlineStr">
        <is>
          <t>JP-only</t>
        </is>
      </c>
      <c r="B184" t="n">
        <v>16</v>
      </c>
      <c r="C184" t="n">
        <v>2.51</v>
      </c>
      <c r="D184" t="inlineStr">
        <is>
          <t>Ghost Pudding</t>
        </is>
      </c>
    </row>
    <row r="185">
      <c r="A185" t="inlineStr">
        <is>
          <t>JP-only</t>
        </is>
      </c>
      <c r="B185" t="n">
        <v>16</v>
      </c>
      <c r="C185" t="n">
        <v>8</v>
      </c>
      <c r="D185" t="inlineStr">
        <is>
          <t>Angel Ring</t>
        </is>
      </c>
    </row>
    <row r="186">
      <c r="A186" t="inlineStr">
        <is>
          <t>JP-only</t>
        </is>
      </c>
      <c r="B186" t="n">
        <v>17</v>
      </c>
      <c r="C186" t="n">
        <v>2.78</v>
      </c>
      <c r="D186" t="inlineStr">
        <is>
          <t>Shark Headlock</t>
        </is>
      </c>
    </row>
    <row r="187">
      <c r="A187" t="inlineStr">
        <is>
          <t>JP-only</t>
        </is>
      </c>
      <c r="B187" t="n">
        <v>17</v>
      </c>
      <c r="C187" t="n">
        <v>2.51</v>
      </c>
      <c r="D187" t="inlineStr">
        <is>
          <t>Suspicious Sashimi Boat</t>
        </is>
      </c>
    </row>
    <row r="188">
      <c r="A188" t="inlineStr">
        <is>
          <t>JP-only</t>
        </is>
      </c>
      <c r="B188" t="n">
        <v>18</v>
      </c>
      <c r="C188" t="n">
        <v>1.2</v>
      </c>
      <c r="D188" t="inlineStr">
        <is>
          <t>Mad Dessert Platter</t>
        </is>
      </c>
    </row>
    <row r="189">
      <c r="A189" t="inlineStr">
        <is>
          <t>JP-only</t>
        </is>
      </c>
      <c r="B189" t="n">
        <v>18</v>
      </c>
      <c r="C189" t="n">
        <v>2.99</v>
      </c>
      <c r="D189" t="inlineStr">
        <is>
          <t>Vampire Lunch</t>
        </is>
      </c>
    </row>
    <row r="190">
      <c r="A190" t="inlineStr">
        <is>
          <t>JP-only</t>
        </is>
      </c>
      <c r="B190" t="n">
        <v>18</v>
      </c>
      <c r="C190" t="n">
        <v>2.14</v>
      </c>
      <c r="D190" t="inlineStr">
        <is>
          <t>Jiraiya's Koya Tofu</t>
        </is>
      </c>
    </row>
    <row r="191">
      <c r="A191" t="inlineStr">
        <is>
          <t>JP-only</t>
        </is>
      </c>
      <c r="B191" t="n">
        <v>19</v>
      </c>
      <c r="C191" t="n">
        <v>4.33</v>
      </c>
      <c r="D191" t="inlineStr">
        <is>
          <t>Ukule-Curry</t>
        </is>
      </c>
    </row>
    <row r="192">
      <c r="A192" t="inlineStr">
        <is>
          <t>JP-only</t>
        </is>
      </c>
      <c r="B192" t="n">
        <v>19</v>
      </c>
      <c r="C192" t="n">
        <v>2.17</v>
      </c>
      <c r="D192" t="inlineStr">
        <is>
          <t>Bone Flakes</t>
        </is>
      </c>
    </row>
    <row r="193">
      <c r="A193" t="inlineStr">
        <is>
          <t>JP-only</t>
        </is>
      </c>
      <c r="B193" t="n">
        <v>19</v>
      </c>
      <c r="C193" t="n">
        <v>2.44</v>
      </c>
      <c r="D193" t="inlineStr">
        <is>
          <t>Piledriver Steak</t>
        </is>
      </c>
    </row>
    <row r="194">
      <c r="A194" t="inlineStr">
        <is>
          <t>JP-only</t>
        </is>
      </c>
      <c r="B194" t="n">
        <v>20</v>
      </c>
      <c r="C194" t="n">
        <v>1.35</v>
      </c>
      <c r="D194" t="inlineStr">
        <is>
          <t>Whole Roast Licker</t>
        </is>
      </c>
    </row>
    <row r="195">
      <c r="A195" t="inlineStr">
        <is>
          <t>JP-only</t>
        </is>
      </c>
      <c r="B195" t="n">
        <v>20</v>
      </c>
      <c r="C195" t="n">
        <v>0.57</v>
      </c>
      <c r="D195" t="inlineStr">
        <is>
          <t>Jambala-EYE</t>
        </is>
      </c>
    </row>
    <row r="196">
      <c r="A196" t="inlineStr">
        <is>
          <t>JP-only</t>
        </is>
      </c>
      <c r="B196" t="n">
        <v>20</v>
      </c>
      <c r="C196" t="n">
        <v>2.77</v>
      </c>
      <c r="D196" t="inlineStr">
        <is>
          <t>1-Up Steak</t>
        </is>
      </c>
    </row>
    <row r="197">
      <c r="A197" t="inlineStr">
        <is>
          <t>JP-only</t>
        </is>
      </c>
      <c r="B197" t="n">
        <v>20</v>
      </c>
      <c r="C197" t="n">
        <v>2.19</v>
      </c>
      <c r="D197" t="inlineStr">
        <is>
          <t>Handshake-Ticket Tart</t>
        </is>
      </c>
    </row>
    <row r="198">
      <c r="A198" t="inlineStr">
        <is>
          <t>JP-only</t>
        </is>
      </c>
      <c r="B198" t="n">
        <v>21</v>
      </c>
      <c r="C198" t="n">
        <v>1.69</v>
      </c>
      <c r="D198" t="inlineStr">
        <is>
          <t>Gnome Salad</t>
        </is>
      </c>
    </row>
    <row r="199">
      <c r="A199" t="inlineStr">
        <is>
          <t>JP-only</t>
        </is>
      </c>
      <c r="B199" t="n">
        <v>21</v>
      </c>
      <c r="C199" t="n">
        <v>2.78</v>
      </c>
      <c r="D199" t="inlineStr">
        <is>
          <t>Ice Coffin</t>
        </is>
      </c>
    </row>
    <row r="200">
      <c r="A200" t="inlineStr">
        <is>
          <t>JP-only</t>
        </is>
      </c>
      <c r="B200" t="n">
        <v>22</v>
      </c>
      <c r="C200" t="n">
        <v>10</v>
      </c>
      <c r="D200" t="inlineStr">
        <is>
          <t>Garlic-Stuffed Vampire</t>
        </is>
      </c>
    </row>
    <row r="201">
      <c r="A201" t="inlineStr">
        <is>
          <t>JP-only</t>
        </is>
      </c>
      <c r="B201" t="n">
        <v>22</v>
      </c>
      <c r="C201" t="n">
        <v>0.6899999999999999</v>
      </c>
      <c r="D201" t="inlineStr">
        <is>
          <t>X Bun</t>
        </is>
      </c>
    </row>
    <row r="202">
      <c r="A202" t="inlineStr">
        <is>
          <t>JP-only</t>
        </is>
      </c>
      <c r="B202" t="n">
        <v>22</v>
      </c>
      <c r="C202" t="n">
        <v>0.89</v>
      </c>
      <c r="D202" t="inlineStr">
        <is>
          <t>Axl Bun</t>
        </is>
      </c>
    </row>
    <row r="203">
      <c r="A203" t="inlineStr">
        <is>
          <t>JP-only</t>
        </is>
      </c>
      <c r="B203" t="n">
        <v>23</v>
      </c>
      <c r="C203" t="n">
        <v>1.5</v>
      </c>
      <c r="D203" t="inlineStr">
        <is>
          <t>ZAP Bar</t>
        </is>
      </c>
    </row>
    <row r="204">
      <c r="A204" t="inlineStr">
        <is>
          <t>JP-only</t>
        </is>
      </c>
      <c r="B204" t="n">
        <v>23</v>
      </c>
      <c r="C204" t="n">
        <v>3.32</v>
      </c>
      <c r="D204" t="inlineStr">
        <is>
          <t>Tiger-Bone Burger</t>
        </is>
      </c>
    </row>
    <row r="205">
      <c r="A205" t="inlineStr">
        <is>
          <t>JP-only</t>
        </is>
      </c>
      <c r="B205" t="n">
        <v>24</v>
      </c>
      <c r="C205" t="n">
        <v>0.6899999999999999</v>
      </c>
      <c r="D205" t="inlineStr">
        <is>
          <t>Bat BBQ with Filthy Sauce</t>
        </is>
      </c>
    </row>
    <row r="206">
      <c r="A206" t="inlineStr">
        <is>
          <t>JP-only</t>
        </is>
      </c>
      <c r="B206" t="n">
        <v>24</v>
      </c>
      <c r="C206" t="n">
        <v>9.33</v>
      </c>
      <c r="D206" t="inlineStr">
        <is>
          <t>Finger Dango</t>
        </is>
      </c>
    </row>
    <row r="207">
      <c r="A207" t="inlineStr">
        <is>
          <t>JP-only</t>
        </is>
      </c>
      <c r="B207" t="n">
        <v>25</v>
      </c>
      <c r="C207" t="n">
        <v>6.07</v>
      </c>
      <c r="D207" t="inlineStr">
        <is>
          <t>Magical Omurice</t>
        </is>
      </c>
    </row>
    <row r="208">
      <c r="A208" t="inlineStr">
        <is>
          <t>JP-only</t>
        </is>
      </c>
      <c r="B208" t="n">
        <v>25</v>
      </c>
      <c r="C208" t="n">
        <v>1.27</v>
      </c>
      <c r="D208" t="inlineStr">
        <is>
          <t>Sea King Leg Steak</t>
        </is>
      </c>
    </row>
    <row r="209">
      <c r="A209" t="inlineStr">
        <is>
          <t>JP-only</t>
        </is>
      </c>
      <c r="B209" t="n">
        <v>26</v>
      </c>
      <c r="C209" t="n">
        <v>2.28</v>
      </c>
      <c r="D209" t="inlineStr">
        <is>
          <t>Hydra Salad</t>
        </is>
      </c>
    </row>
    <row r="210">
      <c r="A210" t="inlineStr">
        <is>
          <t>JP-only</t>
        </is>
      </c>
      <c r="B210" t="n">
        <v>26</v>
      </c>
      <c r="C210" t="n">
        <v>10</v>
      </c>
      <c r="D210" t="inlineStr">
        <is>
          <t>Zombie Pancakes</t>
        </is>
      </c>
    </row>
    <row r="211">
      <c r="A211" t="inlineStr">
        <is>
          <t>JP-only</t>
        </is>
      </c>
      <c r="B211" t="n">
        <v>27</v>
      </c>
      <c r="C211" t="n">
        <v>1.58</v>
      </c>
      <c r="D211" t="inlineStr">
        <is>
          <t>Tartenon Berries</t>
        </is>
      </c>
    </row>
    <row r="212">
      <c r="A212" t="inlineStr">
        <is>
          <t>JP-only</t>
        </is>
      </c>
      <c r="B212" t="n">
        <v>27</v>
      </c>
      <c r="C212" t="n">
        <v>4.44</v>
      </c>
      <c r="D212" t="inlineStr">
        <is>
          <t>Miso Bread</t>
        </is>
      </c>
    </row>
    <row r="213">
      <c r="A213" t="inlineStr">
        <is>
          <t>JP-only</t>
        </is>
      </c>
      <c r="B213" t="n">
        <v>28</v>
      </c>
      <c r="C213" t="n">
        <v>1.99</v>
      </c>
      <c r="D213" t="inlineStr">
        <is>
          <t>Cheshire Ham Tea</t>
        </is>
      </c>
    </row>
    <row r="214">
      <c r="A214" t="inlineStr">
        <is>
          <t>JP-only</t>
        </is>
      </c>
      <c r="B214" t="n">
        <v>28</v>
      </c>
      <c r="C214" t="n">
        <v>6.67</v>
      </c>
      <c r="D214" t="inlineStr">
        <is>
          <t>Multi-Species Skull Sampler</t>
        </is>
      </c>
    </row>
    <row r="215">
      <c r="A215" t="inlineStr">
        <is>
          <t>JP-only</t>
        </is>
      </c>
      <c r="B215" t="n">
        <v>28</v>
      </c>
      <c r="C215" t="n">
        <v>3.86</v>
      </c>
      <c r="D215" t="inlineStr">
        <is>
          <t>Tooth-Breaker Steak</t>
        </is>
      </c>
    </row>
    <row r="216">
      <c r="A216" t="inlineStr">
        <is>
          <t>JP-only</t>
        </is>
      </c>
      <c r="B216" t="n">
        <v>28</v>
      </c>
      <c r="C216" t="n">
        <v>5.89</v>
      </c>
      <c r="D216" t="inlineStr">
        <is>
          <t>Baked Caterpillar Wrap</t>
        </is>
      </c>
    </row>
    <row r="217">
      <c r="A217" t="inlineStr">
        <is>
          <t>JP-only</t>
        </is>
      </c>
      <c r="B217" t="n">
        <v>29</v>
      </c>
      <c r="C217" t="n">
        <v>2.33</v>
      </c>
      <c r="D217" t="inlineStr">
        <is>
          <t>Red Dragon Head Stew</t>
        </is>
      </c>
    </row>
    <row r="218">
      <c r="A218" t="inlineStr">
        <is>
          <t>JP-only</t>
        </is>
      </c>
      <c r="B218" t="n">
        <v>29</v>
      </c>
      <c r="C218" t="n">
        <v>2.7</v>
      </c>
      <c r="D218" t="inlineStr">
        <is>
          <t>Zero-G Steak</t>
        </is>
      </c>
    </row>
    <row r="219">
      <c r="A219" t="inlineStr">
        <is>
          <t>JP-only</t>
        </is>
      </c>
      <c r="B219" t="n">
        <v>30</v>
      </c>
      <c r="C219" t="n">
        <v>1.44</v>
      </c>
      <c r="D219" t="inlineStr">
        <is>
          <t>Rocket Lunch</t>
        </is>
      </c>
    </row>
    <row r="220">
      <c r="A220" t="inlineStr">
        <is>
          <t>JP-only</t>
        </is>
      </c>
      <c r="B220" t="n">
        <v>30</v>
      </c>
      <c r="C220" t="n">
        <v>4.34</v>
      </c>
      <c r="D220" t="inlineStr">
        <is>
          <t>Salmon Roe Boat</t>
        </is>
      </c>
    </row>
    <row r="221">
      <c r="A221" t="inlineStr">
        <is>
          <t>JP-only</t>
        </is>
      </c>
      <c r="B221" t="n">
        <v>32</v>
      </c>
      <c r="C221" t="n">
        <v>1.62</v>
      </c>
      <c r="D221" t="inlineStr">
        <is>
          <t>Scavenged Morning Set</t>
        </is>
      </c>
    </row>
    <row r="222">
      <c r="A222" t="inlineStr">
        <is>
          <t>JP-only</t>
        </is>
      </c>
      <c r="B222" t="n">
        <v>32</v>
      </c>
      <c r="C222" t="n">
        <v>1.22</v>
      </c>
      <c r="D222" t="inlineStr">
        <is>
          <t>Over-1 Bun</t>
        </is>
      </c>
    </row>
    <row r="223">
      <c r="A223" t="inlineStr">
        <is>
          <t>JP-only</t>
        </is>
      </c>
      <c r="B223" t="n">
        <v>33</v>
      </c>
      <c r="C223" t="n">
        <v>2.5</v>
      </c>
      <c r="D223" t="inlineStr">
        <is>
          <t>Oni Chikuzen Stew</t>
        </is>
      </c>
    </row>
    <row r="224">
      <c r="A224" t="inlineStr">
        <is>
          <t>JP-only</t>
        </is>
      </c>
      <c r="B224" t="n">
        <v>34</v>
      </c>
      <c r="C224" t="n">
        <v>4.79</v>
      </c>
      <c r="D224" t="inlineStr">
        <is>
          <t>Martian Macaroni</t>
        </is>
      </c>
    </row>
    <row r="225">
      <c r="A225" t="inlineStr">
        <is>
          <t>JP-only</t>
        </is>
      </c>
      <c r="B225" t="n">
        <v>35</v>
      </c>
      <c r="C225" t="n">
        <v>1.12</v>
      </c>
      <c r="D225" t="inlineStr">
        <is>
          <t>Pluto Juice</t>
        </is>
      </c>
    </row>
    <row r="226">
      <c r="A226" t="inlineStr">
        <is>
          <t>JP-only</t>
        </is>
      </c>
      <c r="B226" t="n">
        <v>42</v>
      </c>
      <c r="C226" t="n">
        <v>0.5600000000000001</v>
      </c>
      <c r="D226" t="inlineStr">
        <is>
          <t>Roast Deer Head</t>
        </is>
      </c>
    </row>
    <row r="227">
      <c r="A227" t="inlineStr">
        <is>
          <t>JP-only</t>
        </is>
      </c>
      <c r="B227" t="n">
        <v>58</v>
      </c>
      <c r="C227" t="n">
        <v>2.61</v>
      </c>
      <c r="D227" t="inlineStr">
        <is>
          <t>Reckless Eyeballs</t>
        </is>
      </c>
    </row>
    <row r="228">
      <c r="A228" t="inlineStr">
        <is>
          <t>JP-only</t>
        </is>
      </c>
      <c r="B228" t="n">
        <v>59</v>
      </c>
      <c r="C228" t="n">
        <v>4.36</v>
      </c>
      <c r="D228" t="inlineStr">
        <is>
          <t>Zombie Sneeze Pizza</t>
        </is>
      </c>
    </row>
    <row r="229">
      <c r="A229" t="inlineStr">
        <is>
          <t>JP-only</t>
        </is>
      </c>
      <c r="B229" t="n">
        <v>60</v>
      </c>
      <c r="C229" t="n">
        <v>1.07</v>
      </c>
      <c r="D229" t="inlineStr">
        <is>
          <t>Tutankhamun Dessert</t>
        </is>
      </c>
    </row>
    <row r="230">
      <c r="A230" t="inlineStr">
        <is>
          <t>JP-only</t>
        </is>
      </c>
      <c r="B230" t="n">
        <v>61</v>
      </c>
      <c r="C230" t="n">
        <v>3.64</v>
      </c>
      <c r="D230" t="inlineStr">
        <is>
          <t>Hot Frog</t>
        </is>
      </c>
    </row>
    <row r="231">
      <c r="A231" t="inlineStr">
        <is>
          <t>JP-only</t>
        </is>
      </c>
      <c r="B231" t="n">
        <v>62</v>
      </c>
      <c r="C231" t="n">
        <v>6.28</v>
      </c>
      <c r="D231" t="inlineStr">
        <is>
          <t>Mandragora Dip</t>
        </is>
      </c>
    </row>
    <row r="232">
      <c r="A232" t="inlineStr">
        <is>
          <t>JP-only</t>
        </is>
      </c>
      <c r="B232" t="n">
        <v>63</v>
      </c>
      <c r="C232" t="n">
        <v>2.64</v>
      </c>
      <c r="D232" t="inlineStr">
        <is>
          <t>Hand-Made Hotpot</t>
        </is>
      </c>
    </row>
    <row r="233">
      <c r="A233" t="inlineStr">
        <is>
          <t>JP-only</t>
        </is>
      </c>
      <c r="B233" t="n">
        <v>64</v>
      </c>
      <c r="C233" t="n">
        <v>5.75</v>
      </c>
      <c r="D233" t="inlineStr">
        <is>
          <t>Hand-Wich</t>
        </is>
      </c>
    </row>
    <row r="234">
      <c r="A234" t="inlineStr">
        <is>
          <t>JP-only</t>
        </is>
      </c>
      <c r="B234" t="n">
        <v>65</v>
      </c>
      <c r="C234" t="n">
        <v>6.25</v>
      </c>
      <c r="D234" t="inlineStr">
        <is>
          <t>Elephant Burger</t>
        </is>
      </c>
    </row>
    <row r="235">
      <c r="A235" t="inlineStr">
        <is>
          <t>JP-only</t>
        </is>
      </c>
      <c r="B235" t="n">
        <v>66</v>
      </c>
      <c r="C235" t="n">
        <v>7.44</v>
      </c>
      <c r="D235" t="inlineStr">
        <is>
          <t>Gut Guacamole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2026-10-08T06:51:32Z</dcterms:created>
  <dcterms:modified xsi:type="dcterms:W3CDTF">2026-10-08T06:51:32Z</dcterms:modified>
</cp:coreProperties>
</file>